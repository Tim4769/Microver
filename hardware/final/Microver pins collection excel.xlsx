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1/Downloads/"/>
    </mc:Choice>
  </mc:AlternateContent>
  <xr:revisionPtr revIDLastSave="0" documentId="8_{4D0FE22A-34F5-DA49-AE86-B32832F5458B}" xr6:coauthVersionLast="47" xr6:coauthVersionMax="47" xr10:uidLastSave="{00000000-0000-0000-0000-000000000000}"/>
  <bookViews>
    <workbookView xWindow="0" yWindow="660" windowWidth="30240" windowHeight="17500" activeTab="2" xr2:uid="{68363546-0D1E-934B-99DE-5B42C3C82270}"/>
  </bookViews>
  <sheets>
    <sheet name="Requirement" sheetId="1" r:id="rId1"/>
    <sheet name="STM32 pinout" sheetId="2" r:id="rId2"/>
    <sheet name="Arduinos pinout" sheetId="4" r:id="rId3"/>
    <sheet name="STM32 Software Guid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</calcChain>
</file>

<file path=xl/sharedStrings.xml><?xml version="1.0" encoding="utf-8"?>
<sst xmlns="http://schemas.openxmlformats.org/spreadsheetml/2006/main" count="737" uniqueCount="367">
  <si>
    <t>#</t>
  </si>
  <si>
    <t>Unique Pin Name</t>
  </si>
  <si>
    <t>Direction</t>
  </si>
  <si>
    <t>Type</t>
  </si>
  <si>
    <t>Description</t>
  </si>
  <si>
    <t>Count</t>
  </si>
  <si>
    <t>PROT_FALSE_IN</t>
  </si>
  <si>
    <t>Input</t>
  </si>
  <si>
    <t>Digital</t>
  </si>
  <si>
    <t>Protection board false signal</t>
  </si>
  <si>
    <t>BLDC_PWM_OUT</t>
  </si>
  <si>
    <t>Output</t>
  </si>
  <si>
    <t>PWM</t>
  </si>
  <si>
    <t>Brushless motor PWM control</t>
  </si>
  <si>
    <t>BOOST_EN_OUT</t>
  </si>
  <si>
    <t>Boost converter enable</t>
  </si>
  <si>
    <t>Analog</t>
  </si>
  <si>
    <t>DRV1_PWM_OUT</t>
  </si>
  <si>
    <t>Motor Driver 1 PWM</t>
  </si>
  <si>
    <t>URAT TX</t>
  </si>
  <si>
    <t>DRV2_PWM_OUT</t>
  </si>
  <si>
    <t>Motor Driver 2 PWM</t>
  </si>
  <si>
    <t>URAT RX</t>
  </si>
  <si>
    <t>DRV1_CTRL_A_OUT</t>
  </si>
  <si>
    <t>Motor Driver 1 control A</t>
  </si>
  <si>
    <t>Total</t>
  </si>
  <si>
    <t>DRV1_CTRL_B_OUT</t>
  </si>
  <si>
    <t>Motor Driver 1 control B</t>
  </si>
  <si>
    <t>DRV2_CTRL_A_OUT</t>
  </si>
  <si>
    <t>Motor Driver 2 control A</t>
  </si>
  <si>
    <t>Bold pins are main arduino</t>
  </si>
  <si>
    <t>DRV2_CTRL_B_OUT</t>
  </si>
  <si>
    <t>Motor Driver 2 control B</t>
  </si>
  <si>
    <t>DRV1_STATUS_A_IN</t>
  </si>
  <si>
    <t>Motor Driver 1 status A</t>
  </si>
  <si>
    <t>DRV1_STATUS_B_IN</t>
  </si>
  <si>
    <t>Motor Driver 1 status B</t>
  </si>
  <si>
    <t>DRV2_STATUS_A_IN</t>
  </si>
  <si>
    <t>Motor Driver 2 status A</t>
  </si>
  <si>
    <t>DRV2_STATUS_B_IN</t>
  </si>
  <si>
    <t>Motor Driver 2 status B</t>
  </si>
  <si>
    <t>DRV1_CURR_SENSE_ADC</t>
  </si>
  <si>
    <t>Motor Driver 1 current sense</t>
  </si>
  <si>
    <t>DRV2_CURR_SENSE_ADC</t>
  </si>
  <si>
    <t>Motor Driver 2 current sense</t>
  </si>
  <si>
    <t>PI_TX</t>
  </si>
  <si>
    <t>UART TX</t>
  </si>
  <si>
    <t>MCU → Raspberry Pi</t>
  </si>
  <si>
    <t>PI_RX</t>
  </si>
  <si>
    <t>UART RX</t>
  </si>
  <si>
    <t>Raspberry Pi → MCU</t>
  </si>
  <si>
    <t>SERVO1_PWM_OUT</t>
  </si>
  <si>
    <t>Servo 1</t>
  </si>
  <si>
    <t>SERVO2_PWM_OUT</t>
  </si>
  <si>
    <t>Servo 2</t>
  </si>
  <si>
    <t>SERVO3_PWM_OUT</t>
  </si>
  <si>
    <t>Servo 3</t>
  </si>
  <si>
    <t>SERVO4_PWM_OUT</t>
  </si>
  <si>
    <t>Servo 4</t>
  </si>
  <si>
    <t>ENC1_A_IN</t>
  </si>
  <si>
    <t>Encoder 1 channel A</t>
  </si>
  <si>
    <t>ENC1_B_IN</t>
  </si>
  <si>
    <t>Encoder 1 channel B</t>
  </si>
  <si>
    <t>ENC2_A_IN</t>
  </si>
  <si>
    <t>Encoder 2 channel A</t>
  </si>
  <si>
    <t>ENC2_B_IN</t>
  </si>
  <si>
    <t>Encoder 2 channel B</t>
  </si>
  <si>
    <t>ENC3_A_IN</t>
  </si>
  <si>
    <t>Encoder 3 channel A</t>
  </si>
  <si>
    <t>ENC3_B_IN</t>
  </si>
  <si>
    <t>Encoder 3 channel B</t>
  </si>
  <si>
    <t>ENC4_A_IN</t>
  </si>
  <si>
    <t>Encoder 4 channel A</t>
  </si>
  <si>
    <t>ENC4_B_IN</t>
  </si>
  <si>
    <t>Encoder 4 channel B</t>
  </si>
  <si>
    <t>ENC5_A_IN</t>
  </si>
  <si>
    <t>Encoder 5 channel A</t>
  </si>
  <si>
    <t>ENC5_B_IN</t>
  </si>
  <si>
    <t>Encoder 5 channel B</t>
  </si>
  <si>
    <t>ENC6_A_IN</t>
  </si>
  <si>
    <t>Encoder 6 channel A</t>
  </si>
  <si>
    <t>ENC6_B_IN</t>
  </si>
  <si>
    <t>Encoder 6 channel B</t>
  </si>
  <si>
    <t>Signal</t>
  </si>
  <si>
    <t>STM32 pin</t>
  </si>
  <si>
    <t>Notes</t>
  </si>
  <si>
    <t>Header</t>
  </si>
  <si>
    <t>Header pin</t>
  </si>
  <si>
    <t>Resistor / caps to add</t>
  </si>
  <si>
    <t>Why</t>
  </si>
  <si>
    <t>PA8</t>
  </si>
  <si>
    <t>TIM1_CH1</t>
  </si>
  <si>
    <t>J14</t>
  </si>
  <si>
    <t>100 Ω series</t>
  </si>
  <si>
    <t>Active PWM output.</t>
  </si>
  <si>
    <t>PC10</t>
  </si>
  <si>
    <t>Simple GPIO output</t>
  </si>
  <si>
    <t>10 kΩ pull-down on the controlled device side; optional 100 Ω series</t>
  </si>
  <si>
    <t>Safer for enables to default OFF during reset/power-up. The series resistor is optional protection.</t>
  </si>
  <si>
    <t>PB12</t>
  </si>
  <si>
    <t>GPIO output</t>
  </si>
  <si>
    <t>J15</t>
  </si>
  <si>
    <t>1 kΩ series</t>
  </si>
  <si>
    <t>Treat as VNH logic input like INA/INB; ST typical app shows 1 kΩ on those control lines.</t>
  </si>
  <si>
    <t>PB13</t>
  </si>
  <si>
    <t>PA4</t>
  </si>
  <si>
    <t>ADC2_IN17</t>
  </si>
  <si>
    <t>680 Ω to GND + 1 nF to 10 nF to GND at MCU pin</t>
  </si>
  <si>
    <t>VNH CS outputs a current, so it needs a resistor to ground to make a voltage. ST gives 1.1 kΩ as an example, but that can reach 5 V max, which is too high for STM32 ADC. Using 680 Ω keeps worst-case sense voltage around 3.1 V instead of 5 V. Small cap filters PWM noise. Keep pin in analog mode.</t>
  </si>
  <si>
    <t>PA9</t>
  </si>
  <si>
    <t>TIM1_CH2</t>
  </si>
  <si>
    <t>VNH PWM input is CMOS compatible, and ST’s typical application shows 1 kΩ on logic-control inputs. 3.3 V MCU logic is valid because VNH logic high is recognized from 2.1 V min.</t>
  </si>
  <si>
    <t>PD2</t>
  </si>
  <si>
    <t>GPIO input</t>
  </si>
  <si>
    <t>3.3 kΩ pull-up to 3.3 V</t>
  </si>
  <si>
    <t>VNH DIAG/EN is open-drain and must be externally pulled high. I recommend pulling to 3.3 V, not 5 V, so the STM32 pin stays in-range. ST’s app shows 3.3 kΩ pull-up.</t>
  </si>
  <si>
    <t>PC8</t>
  </si>
  <si>
    <t>PB14</t>
  </si>
  <si>
    <t>PB15</t>
  </si>
  <si>
    <t>PA5</t>
  </si>
  <si>
    <t>ADC2_IN13</t>
  </si>
  <si>
    <t>PA10</t>
  </si>
  <si>
    <t>TIM1_CH3</t>
  </si>
  <si>
    <t>PC9</t>
  </si>
  <si>
    <t>PB10</t>
  </si>
  <si>
    <t xml:space="preserve">GPIO Input </t>
  </si>
  <si>
    <t>PA0</t>
  </si>
  <si>
    <t>TIM2_CH1</t>
  </si>
  <si>
    <t>100 Ω series optional</t>
  </si>
  <si>
    <t>encoder already has a built-in pull-up resistor, so no extra pull-up is normally needed. A small series resistor helps with cable noise/ESD/ringing.</t>
  </si>
  <si>
    <t>PA1</t>
  </si>
  <si>
    <t>TIM2_CH2</t>
  </si>
  <si>
    <t>PB4</t>
  </si>
  <si>
    <t>TIM3_CH1</t>
  </si>
  <si>
    <t>PB5</t>
  </si>
  <si>
    <t>TIM3_CH2</t>
  </si>
  <si>
    <t>PB6</t>
  </si>
  <si>
    <t>TIM4_CH1</t>
  </si>
  <si>
    <t>PB7</t>
  </si>
  <si>
    <t>TIM4_CH2</t>
  </si>
  <si>
    <t>PB2</t>
  </si>
  <si>
    <t>TIM5_CH1</t>
  </si>
  <si>
    <t>PC12</t>
  </si>
  <si>
    <t>TIM5_CH2</t>
  </si>
  <si>
    <t>PC6</t>
  </si>
  <si>
    <t>TIM8_CH1</t>
  </si>
  <si>
    <t>PC7</t>
  </si>
  <si>
    <t>TIM8_CH2</t>
  </si>
  <si>
    <t>PA11</t>
  </si>
  <si>
    <t>GPIO / EXTI software quadrature</t>
  </si>
  <si>
    <t>PA12</t>
  </si>
  <si>
    <t>PC5</t>
  </si>
  <si>
    <t>USART1_RX</t>
  </si>
  <si>
    <t>ringing on wires</t>
  </si>
  <si>
    <t>PC4</t>
  </si>
  <si>
    <t>USART1_TX</t>
  </si>
  <si>
    <t>PROT_FALSE_IN (currently not in use)</t>
  </si>
  <si>
    <t>PC11</t>
  </si>
  <si>
    <t>GPIO input (can use EXTI if you want interrupts)</t>
  </si>
  <si>
    <t>10 kΩ pull-up to 3.3 V</t>
  </si>
  <si>
    <t>LM5069 PGD = open drain</t>
  </si>
  <si>
    <t>PA2</t>
  </si>
  <si>
    <t>TIM15_CH1</t>
  </si>
  <si>
    <t>Active PWM output; series damping only if helpful.</t>
  </si>
  <si>
    <t>PA3</t>
  </si>
  <si>
    <t>TIM15_CH2</t>
  </si>
  <si>
    <t>PA6</t>
  </si>
  <si>
    <t>TIM16_CH1</t>
  </si>
  <si>
    <t>PA7</t>
  </si>
  <si>
    <t>TIM17_CH1</t>
  </si>
  <si>
    <t>Spare pins</t>
  </si>
  <si>
    <t>PC0</t>
  </si>
  <si>
    <t>Nothing</t>
  </si>
  <si>
    <t>PC1</t>
  </si>
  <si>
    <t>PC2</t>
  </si>
  <si>
    <t>PB0</t>
  </si>
  <si>
    <t>PB1</t>
  </si>
  <si>
    <t>Main</t>
  </si>
  <si>
    <t>Nano Pin</t>
  </si>
  <si>
    <t>Pin Header</t>
  </si>
  <si>
    <t>Pin</t>
  </si>
  <si>
    <t>Recommended resistor/caps</t>
  </si>
  <si>
    <t>Why / design note</t>
  </si>
  <si>
    <t>Output (PWM)</t>
  </si>
  <si>
    <t>D10</t>
  </si>
  <si>
    <t>A6</t>
  </si>
  <si>
    <t>D9</t>
  </si>
  <si>
    <t>D8</t>
  </si>
  <si>
    <t>A7</t>
  </si>
  <si>
    <t>Input (Analog)</t>
  </si>
  <si>
    <t>A0</t>
  </si>
  <si>
    <t>D13</t>
  </si>
  <si>
    <t>A1</t>
  </si>
  <si>
    <t>D3</t>
  </si>
  <si>
    <t>D11</t>
  </si>
  <si>
    <t>D4</t>
  </si>
  <si>
    <t>D12</t>
  </si>
  <si>
    <t>D6</t>
  </si>
  <si>
    <t>D5</t>
  </si>
  <si>
    <t>A2 (D16)</t>
  </si>
  <si>
    <t>A3 (D17)</t>
  </si>
  <si>
    <t>D2</t>
  </si>
  <si>
    <t>D7</t>
  </si>
  <si>
    <t>I²C SDA</t>
  </si>
  <si>
    <t>I/O</t>
  </si>
  <si>
    <t>A4</t>
  </si>
  <si>
    <t>To second Arduino</t>
  </si>
  <si>
    <t>I²C SCL</t>
  </si>
  <si>
    <t>A5</t>
  </si>
  <si>
    <t>Encoder has built-in pull-up; no extra pull-up normally needed on Arduino version.</t>
  </si>
  <si>
    <t>100 Ω to 220 Ω series</t>
  </si>
  <si>
    <t>General PWM leaving MCU area; small series resistor improves edge control and robustness.</t>
  </si>
  <si>
    <t>Encoder has built-in pull-up. D13 has LED_BUILTIN, so consider moving this if ENC6 timing/noise becomes troublesome.</t>
  </si>
  <si>
    <t>A0 (digital 14)</t>
  </si>
  <si>
    <t>No extra pull-up here if main board already provides bus pull-ups</t>
  </si>
  <si>
    <t>Only one pair of pull-ups should be present on the whole I²C bus.</t>
  </si>
  <si>
    <t>Spare</t>
  </si>
  <si>
    <t>Nano Pin (Sub)</t>
  </si>
  <si>
    <t>Suggested use</t>
  </si>
  <si>
    <t>Spare analog / digital GPIO</t>
  </si>
  <si>
    <t>A2</t>
  </si>
  <si>
    <t>A3</t>
  </si>
  <si>
    <t>STM32 firmware guide</t>
  </si>
  <si>
    <t>Signal / group</t>
  </si>
  <si>
    <t>Configure as</t>
  </si>
  <si>
    <t>Safe boot state</t>
  </si>
  <si>
    <t>Runtime behavior</t>
  </si>
  <si>
    <t>How to disable / safe-state</t>
  </si>
  <si>
    <t>Timer PWM output, push-pull</t>
  </si>
  <si>
    <t>Duty = 0, output low</t>
  </si>
  <si>
    <t>Drives BLDC speed command</t>
  </si>
  <si>
    <t>Set duty 0 or stop timer</t>
  </si>
  <si>
    <t>Generic PWM output</t>
  </si>
  <si>
    <t>GPIO output, push-pull</t>
  </si>
  <si>
    <t>LOW</t>
  </si>
  <si>
    <r>
      <t>HIGH = enable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(assumed active-high)</t>
    </r>
  </si>
  <si>
    <t>Drive LOW</t>
  </si>
  <si>
    <t>Verify final polarity against schematic/transistor stage</t>
  </si>
  <si>
    <t>DRV1_CTRL_A/B_OUT, DRV2_CTRL_A/B_OUT</t>
  </si>
  <si>
    <t>GPIO outputs, push-pull</t>
  </si>
  <si>
    <t>Both LOW</t>
  </si>
  <si>
    <t>Set VNH direction/brake command via INA/INB truth table</t>
  </si>
  <si>
    <t>Use with PWM=0 for idle; for full high-Z use DIAG/EN low (see below)</t>
  </si>
  <si>
    <t>These are the VNH INA / INB equivalents</t>
  </si>
  <si>
    <t>DRV1_PWM_OUT, DRV2_PWM_OUT</t>
  </si>
  <si>
    <t>Timer PWM outputs</t>
  </si>
  <si>
    <t>0% duty</t>
  </si>
  <si>
    <t>Speed control input to VNH</t>
  </si>
  <si>
    <t>Set duty 0%</t>
  </si>
  <si>
    <t>VNH supports PWM up to 20 kHz</t>
  </si>
  <si>
    <t>DRV1_STATUS_A/B_IN, DRV2_STATUS_A/B_IN</t>
  </si>
  <si>
    <r>
      <t xml:space="preserve">Normally GPIO inputs with </t>
    </r>
    <r>
      <rPr>
        <b/>
        <sz val="12"/>
        <color theme="1"/>
        <rFont val="Aptos Narrow"/>
        <family val="2"/>
        <scheme val="minor"/>
      </rPr>
      <t>external pull-up already on board</t>
    </r>
  </si>
  <si>
    <t>Released/high</t>
  </si>
  <si>
    <r>
      <t xml:space="preserve">Read </t>
    </r>
    <r>
      <rPr>
        <b/>
        <sz val="12"/>
        <color theme="1"/>
        <rFont val="Aptos Narrow"/>
        <family val="2"/>
        <scheme val="minor"/>
      </rPr>
      <t>HIGH = released / no fault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LOW = fault or forced disable</t>
    </r>
  </si>
  <si>
    <r>
      <t xml:space="preserve">Optional dual-use: set MCU pin to </t>
    </r>
    <r>
      <rPr>
        <b/>
        <sz val="12"/>
        <color theme="1"/>
        <rFont val="Aptos Narrow"/>
        <family val="2"/>
        <scheme val="minor"/>
      </rPr>
      <t>open-drain output low</t>
    </r>
    <r>
      <rPr>
        <sz val="12"/>
        <color theme="1"/>
        <rFont val="Aptos Narrow"/>
        <family val="2"/>
        <scheme val="minor"/>
      </rPr>
      <t xml:space="preserve"> to disable that half-bridge, otherwise leave as input / high-Z</t>
    </r>
  </si>
  <si>
    <r>
      <t xml:space="preserve">Do </t>
    </r>
    <r>
      <rPr>
        <b/>
        <sz val="12"/>
        <color theme="1"/>
        <rFont val="Aptos Narrow"/>
        <family val="2"/>
        <scheme val="minor"/>
      </rPr>
      <t>not</t>
    </r>
    <r>
      <rPr>
        <sz val="12"/>
        <color theme="1"/>
        <rFont val="Aptos Narrow"/>
        <family val="2"/>
        <scheme val="minor"/>
      </rPr>
      <t xml:space="preserve"> drive push-pull high; release the line and let the pull-up do it</t>
    </r>
  </si>
  <si>
    <t>DRV1_CURR_SENSE_ADC, DRV2_CURR_SENSE_ADC</t>
  </si>
  <si>
    <t>ADC input, analog mode, no pull</t>
  </si>
  <si>
    <t>Analog mode</t>
  </si>
  <si>
    <t>Read motor-current feedback</t>
  </si>
  <si>
    <t>N/A</t>
  </si>
  <si>
    <t>Use calibration in firmware; sense ratio varies with current</t>
  </si>
  <si>
    <t>PROT_FALSE_IN (not currently used)</t>
  </si>
  <si>
    <t>GPIO input, optional EXTI on falling edge</t>
  </si>
  <si>
    <r>
      <t xml:space="preserve">Read </t>
    </r>
    <r>
      <rPr>
        <b/>
        <sz val="12"/>
        <color theme="1"/>
        <rFont val="Aptos Narrow"/>
        <family val="2"/>
        <scheme val="minor"/>
      </rPr>
      <t>HIGH = power good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family val="2"/>
        <scheme val="minor"/>
      </rPr>
      <t>LOW = startup/fault/not-good</t>
    </r>
  </si>
  <si>
    <t>Input only</t>
  </si>
  <si>
    <t>Source is LM5069 PGD-style signal</t>
  </si>
  <si>
    <t>PI_TX / PI_RX</t>
  </si>
  <si>
    <t>USART1</t>
  </si>
  <si>
    <t>Idle UART state</t>
  </si>
  <si>
    <t>Raspberry Pi link</t>
  </si>
  <si>
    <t>De-init USART or leave idle</t>
  </si>
  <si>
    <t>Standard UART</t>
  </si>
  <si>
    <t>SERVO1..4_PWM_OUT</t>
  </si>
  <si>
    <t>Low or neutral pulse</t>
  </si>
  <si>
    <t>Servo/control PWM</t>
  </si>
  <si>
    <t>Stop timer or set safe pulse width</t>
  </si>
  <si>
    <t>50 Hz / 1–2 ms is common, but verify target device</t>
  </si>
  <si>
    <t>ENC1..ENC5 A/B</t>
  </si>
  <si>
    <t>Timer encoder mode</t>
  </si>
  <si>
    <t>Counter reset to 0</t>
  </si>
  <si>
    <t>Hardware quadrature counting</t>
  </si>
  <si>
    <t>Best option: TIM2/TIM3/TIM4/TIM5/TIM8 encoder mode</t>
  </si>
  <si>
    <t>ENC6 A/B</t>
  </si>
  <si>
    <t>GPIO inputs + EXTI software decode</t>
  </si>
  <si>
    <t>Inputs</t>
  </si>
  <si>
    <t>Software quadrature decode</t>
  </si>
  <si>
    <t>Your sheet marks this as software quadrature</t>
  </si>
  <si>
    <t>GPIO / ADC as needed</t>
  </si>
  <si>
    <t>Analog or input-no-pull</t>
  </si>
  <si>
    <t>Free for future use</t>
  </si>
  <si>
    <t>Set analog if unused</t>
  </si>
  <si>
    <t>Helps avoid floating-pin current</t>
  </si>
  <si>
    <t>VNH5019 command table for firmware</t>
  </si>
  <si>
    <t>Command</t>
  </si>
  <si>
    <t>CTRL_A</t>
  </si>
  <si>
    <t>CTRL_B</t>
  </si>
  <si>
    <t>STATUS_A/B</t>
  </si>
  <si>
    <t>Result</t>
  </si>
  <si>
    <t>Motor CW</t>
  </si>
  <si>
    <t>duty &gt; 0</t>
  </si>
  <si>
    <t>released high</t>
  </si>
  <si>
    <t>Clockwise</t>
  </si>
  <si>
    <t>Motor CCW</t>
  </si>
  <si>
    <t>Counterclockwise</t>
  </si>
  <si>
    <t>Brake to VCC</t>
  </si>
  <si>
    <t>Brake to supply</t>
  </si>
  <si>
    <t>Brake to GND</t>
  </si>
  <si>
    <t>Brake to ground</t>
  </si>
  <si>
    <t>PWM idle</t>
  </si>
  <si>
    <t>keep dir bits</t>
  </si>
  <si>
    <t>PWM chopped off</t>
  </si>
  <si>
    <t>Hard disable / high-Z</t>
  </si>
  <si>
    <t>X</t>
  </si>
  <si>
    <t>pull both status lines low as open-drain</t>
  </si>
  <si>
    <t>Half-bridges disabled</t>
  </si>
  <si>
    <t>Safe startup</t>
  </si>
  <si>
    <t>1. Configure BOOST_EN_OUT = 0</t>
  </si>
  <si>
    <t>2. Configure BLDC_PWM_OUT = 0%</t>
  </si>
  <si>
    <t>3. Configure DRV1_PWM_OUT = 0%, DRV2_PWM_OUT = 0%</t>
  </si>
  <si>
    <t>4. Configure DRV1/2_CTRL_A/B_OUT = 0</t>
  </si>
  <si>
    <t>5. Configure DRV1/2_STATUS_A/B_IN as input (or OD released/high-Z)</t>
  </si>
  <si>
    <t>6. Configure DRV1/2_CURR_SENSE_ADC as analog ADC inputs</t>
  </si>
  <si>
    <t>7. Configure PROT_FALSE_IN as GPIO input, optional EXTI falling-edge interrupt</t>
  </si>
  <si>
    <t>8. Configure ENC1..ENC5 in hardware encoder mode</t>
  </si>
  <si>
    <t>9. Configure ENC6 in EXTI software quadrature mode</t>
  </si>
  <si>
    <t>Main #</t>
  </si>
  <si>
    <t>VNH5019 PWM input for Drive_1 to Drive_3</t>
  </si>
  <si>
    <t>100 ohm to 1 kohm series optional; optional 10 kohm pull-down for default-off</t>
  </si>
  <si>
    <t>No pull-up needed. PWM low disables drive output during reset.</t>
  </si>
  <si>
    <t>VNH5019 ENA/DIAGA for DRV1</t>
  </si>
  <si>
    <t>10 kohm pull-up to +5 V; optional 100 ohm to 1 kohm series</t>
  </si>
  <si>
    <t>VNH EN/DIAG must be high to enable; driver pulls low on fault.</t>
  </si>
  <si>
    <t>VNH5019 INB for DRV2</t>
  </si>
  <si>
    <t>1 kohm series optional; optional 10 kohm pull-down</t>
  </si>
  <si>
    <t>VNH logic input. Pull low during reset if default stop is needed.</t>
  </si>
  <si>
    <t>VNH5019 INA for DRV2</t>
  </si>
  <si>
    <t>VNH5019 INB for DRV1</t>
  </si>
  <si>
    <t>VNH5019 INA for DRV1</t>
  </si>
  <si>
    <t>Boost on/off control, not motor enable</t>
  </si>
  <si>
    <t>100 ohm to 1 kohm series optional; default-off pull resistor if needed</t>
  </si>
  <si>
    <t>Only use for boost enable. Default-off resistor polarity depends on boost board enable polarity.</t>
  </si>
  <si>
    <t>PROT_PGD_IN</t>
  </si>
  <si>
    <t>Protection power-good/fault input</t>
  </si>
  <si>
    <t>LM5069 PGD/protection status is open-drain and needs a pull-up.</t>
  </si>
  <si>
    <t>VNH5019 ENB/DIAGB for DRV1</t>
  </si>
  <si>
    <t>VNH EN/DIAG must be high to enable; driver pulls low on fault. D13 also has LED/SPI use.</t>
  </si>
  <si>
    <t>Servo 2 PWM</t>
  </si>
  <si>
    <t>100 ohm to 220 ohm series optional</t>
  </si>
  <si>
    <t>Servo signal line. No pull-up needed.</t>
  </si>
  <si>
    <t>Servo 1 PWM</t>
  </si>
  <si>
    <t>VNH5019 PWM input for Drive_4 to Drive_6</t>
  </si>
  <si>
    <t>VNH5019 ENB/DIAGB for DRV2</t>
  </si>
  <si>
    <t>VNH EN/DIAG must be high to enable; driver pulls low on fault. A7 is GPIO on Nano Every.</t>
  </si>
  <si>
    <t>VNH5019 ENA/DIAGA for DRV2</t>
  </si>
  <si>
    <t>VNH EN/DIAG must be high to enable; driver pulls low on fault. A6 is GPIO on Nano Every.</t>
  </si>
  <si>
    <t>I2C SCL</t>
  </si>
  <si>
    <t>4.7 kohm pull-up to +5 V, one pair on whole I2C bus only</t>
  </si>
  <si>
    <t>I2C is open-drain and needs pull-ups.</t>
  </si>
  <si>
    <t>I2C SDA</t>
  </si>
  <si>
    <t>Servo 4 PWM</t>
  </si>
  <si>
    <t>Servo signal line. No I2C pull-up needed.</t>
  </si>
  <si>
    <t>Servo 3 PWM</t>
  </si>
  <si>
    <t>VNH5019 CS current-sense output for DRV1</t>
  </si>
  <si>
    <t>1.1 kohm to GND at CS node; optional 1 nF to GND near ADC; no pull-up</t>
  </si>
  <si>
    <t>VNH CS is a current output. Resistor converts current to ADC voltage.</t>
  </si>
  <si>
    <t>VNH5019 CS current-sense output for DRV2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</si>
</sst>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9" fontId="0" fillId="0" borderId="0" xfId="0" applyNumberFormat="1"/>
    <xf numFmtId="0" fontId="7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AC8EB0-FEFC-A940-844F-B62D3F7A4D01}" name="Table1" displayName="Table1" ref="A1:G174" totalsRowShown="0" headerRowDxfId="8" dataDxfId="7">
  <autoFilter ref="A1:G174" xr:uid="{D4AC8EB0-FEFC-A940-844F-B62D3F7A4D01}"/>
  <sortState xmlns:xlrd2="http://schemas.microsoft.com/office/spreadsheetml/2017/richdata2" ref="A2:G39">
    <sortCondition ref="A1:A39"/>
  </sortState>
  <tableColumns count="7">
    <tableColumn id="1" xr3:uid="{D35B0322-50A6-FB49-8DBB-30645B610942}" name="Signal" dataDxfId="6"/>
    <tableColumn id="2" xr3:uid="{1C244CB0-5FBF-A74A-969C-36D82576BD4E}" name="STM32 pin" dataDxfId="5"/>
    <tableColumn id="3" xr3:uid="{CB89B3E6-3491-804F-8E4C-00D91793B025}" name="Notes" dataDxfId="4"/>
    <tableColumn id="4" xr3:uid="{D891F41A-55BD-994C-8538-84F00854399D}" name="Header" dataDxfId="3"/>
    <tableColumn id="5" xr3:uid="{3B690A20-A125-A446-AE8F-850C2D7AE39B}" name="Header pin" dataDxfId="2"/>
    <tableColumn id="6" xr3:uid="{C16D6AFC-EE77-CE48-9E61-192BD3082284}" name="Resistor / caps to add" dataDxfId="1"/>
    <tableColumn id="7" xr3:uid="{DEFBCB50-BBDE-6B46-B393-3E64DCD5F5CC}" name="Why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52B768-FA12-2942-B5A1-B402F08CA738}" name="Table2" displayName="Table2" ref="A26:G41" totalsRowShown="0">
  <autoFilter ref="A26:G41" xr:uid="{D852B768-FA12-2942-B5A1-B402F08CA738}">
    <filterColumn colId="3">
      <filters blank="1">
        <filter val="J15"/>
      </filters>
    </filterColumn>
  </autoFilter>
  <sortState xmlns:xlrd2="http://schemas.microsoft.com/office/spreadsheetml/2017/richdata2" ref="A27:G41">
    <sortCondition ref="E26:E41"/>
  </sortState>
  <tableColumns count="7">
    <tableColumn id="1" xr3:uid="{478D2B57-1DF8-7843-9AD3-14957A90F472}" name="#"/>
    <tableColumn id="2" xr3:uid="{A19CC7E1-AD41-344C-9054-EB9A73C40890}" name="Signal"/>
    <tableColumn id="3" xr3:uid="{CB11E788-65F0-234D-A6FF-B2D57AFBB30F}" name="Nano Pin"/>
    <tableColumn id="4" xr3:uid="{604AC74A-B2CD-C045-8137-D687008EEEB0}" name="Pin Header"/>
    <tableColumn id="5" xr3:uid="{1A7A5E53-C6B3-7542-B8B7-FFAD11E733FD}" name="Pin"/>
    <tableColumn id="6" xr3:uid="{F0C4809E-0BC1-764C-98C9-24F64352E724}" name="Recommended resistor/caps"/>
    <tableColumn id="7" xr3:uid="{872B8C19-149A-BD4F-A51A-90E4BB3FA0F8}" name="Why / design not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7F4C24-A213-A84C-AF55-C2FB0A279C04}" name="Table3" displayName="Table3" ref="A2:I23" totalsRowShown="0">
  <autoFilter ref="A2:I23" xr:uid="{807F4C24-A213-A84C-AF55-C2FB0A279C04}"/>
  <sortState xmlns:xlrd2="http://schemas.microsoft.com/office/spreadsheetml/2017/richdata2" ref="A3:G22">
    <sortCondition descending="1" ref="D2:D22"/>
  </sortState>
  <tableColumns count="9">
    <tableColumn id="1" xr3:uid="{9DF58B2D-2AA4-DC4F-942A-4A022C783FE8}" name="Main #"/>
    <tableColumn id="2" xr3:uid="{A29A6FB3-9828-7542-B990-11E859CD5886}" name="Signal"/>
    <tableColumn id="3" xr3:uid="{B051B26C-C941-9B4F-8B2E-6EC679CE18CA}" name="Direction"/>
    <tableColumn id="4" xr3:uid="{D22EB9A3-FDAF-9A47-AED3-123BECC63F58}" name="Nano Pin"/>
    <tableColumn id="5" xr3:uid="{ECE24C6E-851B-7D4B-8C08-4C1C6717D129}" name="Pin Header"/>
    <tableColumn id="6" xr3:uid="{FC865B38-3608-DA4A-AAAA-18F27DEF1EEB}" name="Pin"/>
    <tableColumn id="7" xr3:uid="{D2701695-5BC3-CA45-89FC-739620B5B4F2}" name="Notes"/>
    <tableColumn id="8" xr3:uid="{7F0AD4CE-FE54-6741-B1D1-04B6E292FEBE}" name="Recommended resistor/caps"/>
    <tableColumn id="9" xr3:uid="{276E687D-C914-784D-A0DF-6783FDEBCA8D}" name="Why / design no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E67E-F4FB-5E48-AB6F-CA66A312683B}">
  <dimension ref="A1:I34"/>
  <sheetViews>
    <sheetView zoomScale="107" workbookViewId="0">
      <selection activeCell="B22" sqref="B22"/>
    </sheetView>
  </sheetViews>
  <sheetFormatPr baseColWidth="10" defaultColWidth="11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3</v>
      </c>
      <c r="I1" s="1" t="s">
        <v>5</v>
      </c>
    </row>
    <row r="2" spans="1:9" ht="17" x14ac:dyDescent="0.25">
      <c r="A2" s="3">
        <v>1</v>
      </c>
      <c r="B2" s="2" t="s">
        <v>6</v>
      </c>
      <c r="C2" t="s">
        <v>7</v>
      </c>
      <c r="D2" t="s">
        <v>8</v>
      </c>
      <c r="E2" t="s">
        <v>9</v>
      </c>
      <c r="H2" t="s">
        <v>8</v>
      </c>
      <c r="I2">
        <v>22</v>
      </c>
    </row>
    <row r="3" spans="1:9" ht="17" x14ac:dyDescent="0.25">
      <c r="A3">
        <v>2</v>
      </c>
      <c r="B3" s="2" t="s">
        <v>10</v>
      </c>
      <c r="C3" t="s">
        <v>11</v>
      </c>
      <c r="D3" t="s">
        <v>12</v>
      </c>
      <c r="E3" t="s">
        <v>13</v>
      </c>
      <c r="H3" t="s">
        <v>12</v>
      </c>
      <c r="I3">
        <v>7</v>
      </c>
    </row>
    <row r="4" spans="1:9" ht="17" x14ac:dyDescent="0.25">
      <c r="A4" s="3">
        <v>3</v>
      </c>
      <c r="B4" s="2" t="s">
        <v>14</v>
      </c>
      <c r="C4" t="s">
        <v>11</v>
      </c>
      <c r="D4" t="s">
        <v>8</v>
      </c>
      <c r="E4" t="s">
        <v>15</v>
      </c>
      <c r="H4" t="s">
        <v>16</v>
      </c>
      <c r="I4">
        <v>2</v>
      </c>
    </row>
    <row r="5" spans="1:9" ht="17" x14ac:dyDescent="0.25">
      <c r="A5" s="3">
        <v>4</v>
      </c>
      <c r="B5" s="2" t="s">
        <v>17</v>
      </c>
      <c r="C5" t="s">
        <v>11</v>
      </c>
      <c r="D5" t="s">
        <v>12</v>
      </c>
      <c r="E5" t="s">
        <v>18</v>
      </c>
      <c r="H5" t="s">
        <v>19</v>
      </c>
      <c r="I5">
        <v>1</v>
      </c>
    </row>
    <row r="6" spans="1:9" ht="17" x14ac:dyDescent="0.25">
      <c r="A6" s="3">
        <v>5</v>
      </c>
      <c r="B6" s="2" t="s">
        <v>20</v>
      </c>
      <c r="C6" t="s">
        <v>11</v>
      </c>
      <c r="D6" t="s">
        <v>12</v>
      </c>
      <c r="E6" t="s">
        <v>21</v>
      </c>
      <c r="H6" t="s">
        <v>22</v>
      </c>
      <c r="I6">
        <v>1</v>
      </c>
    </row>
    <row r="7" spans="1:9" ht="17" x14ac:dyDescent="0.25">
      <c r="A7" s="3">
        <v>6</v>
      </c>
      <c r="B7" s="2" t="s">
        <v>23</v>
      </c>
      <c r="C7" t="s">
        <v>11</v>
      </c>
      <c r="D7" t="s">
        <v>8</v>
      </c>
      <c r="E7" t="s">
        <v>24</v>
      </c>
      <c r="H7" t="s">
        <v>25</v>
      </c>
      <c r="I7">
        <f>SUM(I2:I6)</f>
        <v>33</v>
      </c>
    </row>
    <row r="8" spans="1:9" ht="17" x14ac:dyDescent="0.25">
      <c r="A8" s="3">
        <v>7</v>
      </c>
      <c r="B8" s="2" t="s">
        <v>26</v>
      </c>
      <c r="C8" t="s">
        <v>11</v>
      </c>
      <c r="D8" t="s">
        <v>8</v>
      </c>
      <c r="E8" t="s">
        <v>27</v>
      </c>
    </row>
    <row r="9" spans="1:9" ht="17" x14ac:dyDescent="0.25">
      <c r="A9" s="3">
        <v>8</v>
      </c>
      <c r="B9" s="2" t="s">
        <v>28</v>
      </c>
      <c r="C9" t="s">
        <v>11</v>
      </c>
      <c r="D9" t="s">
        <v>8</v>
      </c>
      <c r="E9" t="s">
        <v>29</v>
      </c>
      <c r="H9" t="s">
        <v>30</v>
      </c>
    </row>
    <row r="10" spans="1:9" ht="17" x14ac:dyDescent="0.25">
      <c r="A10" s="3">
        <v>9</v>
      </c>
      <c r="B10" s="2" t="s">
        <v>31</v>
      </c>
      <c r="C10" t="s">
        <v>11</v>
      </c>
      <c r="D10" t="s">
        <v>8</v>
      </c>
      <c r="E10" t="s">
        <v>32</v>
      </c>
    </row>
    <row r="11" spans="1:9" ht="17" x14ac:dyDescent="0.25">
      <c r="A11" s="3">
        <v>10</v>
      </c>
      <c r="B11" s="2" t="s">
        <v>33</v>
      </c>
      <c r="C11" t="s">
        <v>7</v>
      </c>
      <c r="D11" t="s">
        <v>8</v>
      </c>
      <c r="E11" t="s">
        <v>34</v>
      </c>
    </row>
    <row r="12" spans="1:9" ht="17" x14ac:dyDescent="0.25">
      <c r="A12" s="3">
        <v>11</v>
      </c>
      <c r="B12" s="2" t="s">
        <v>35</v>
      </c>
      <c r="C12" t="s">
        <v>7</v>
      </c>
      <c r="D12" t="s">
        <v>8</v>
      </c>
      <c r="E12" t="s">
        <v>36</v>
      </c>
    </row>
    <row r="13" spans="1:9" ht="17" x14ac:dyDescent="0.25">
      <c r="A13" s="3">
        <v>12</v>
      </c>
      <c r="B13" s="2" t="s">
        <v>37</v>
      </c>
      <c r="C13" t="s">
        <v>7</v>
      </c>
      <c r="D13" t="s">
        <v>8</v>
      </c>
      <c r="E13" t="s">
        <v>38</v>
      </c>
    </row>
    <row r="14" spans="1:9" ht="17" x14ac:dyDescent="0.25">
      <c r="A14" s="3">
        <v>13</v>
      </c>
      <c r="B14" s="2" t="s">
        <v>39</v>
      </c>
      <c r="C14" t="s">
        <v>7</v>
      </c>
      <c r="D14" t="s">
        <v>8</v>
      </c>
      <c r="E14" t="s">
        <v>40</v>
      </c>
    </row>
    <row r="15" spans="1:9" ht="17" x14ac:dyDescent="0.25">
      <c r="A15" s="3">
        <v>14</v>
      </c>
      <c r="B15" s="2" t="s">
        <v>41</v>
      </c>
      <c r="C15" t="s">
        <v>7</v>
      </c>
      <c r="D15" t="s">
        <v>16</v>
      </c>
      <c r="E15" t="s">
        <v>42</v>
      </c>
    </row>
    <row r="16" spans="1:9" ht="17" x14ac:dyDescent="0.25">
      <c r="A16" s="3">
        <v>15</v>
      </c>
      <c r="B16" s="2" t="s">
        <v>43</v>
      </c>
      <c r="C16" t="s">
        <v>7</v>
      </c>
      <c r="D16" t="s">
        <v>16</v>
      </c>
      <c r="E16" t="s">
        <v>44</v>
      </c>
    </row>
    <row r="17" spans="1:5" ht="17" x14ac:dyDescent="0.25">
      <c r="A17" s="3">
        <v>16</v>
      </c>
      <c r="B17" s="2" t="s">
        <v>45</v>
      </c>
      <c r="C17" t="s">
        <v>11</v>
      </c>
      <c r="D17" t="s">
        <v>46</v>
      </c>
      <c r="E17" t="s">
        <v>47</v>
      </c>
    </row>
    <row r="18" spans="1:5" ht="17" x14ac:dyDescent="0.25">
      <c r="A18" s="3">
        <v>17</v>
      </c>
      <c r="B18" s="2" t="s">
        <v>48</v>
      </c>
      <c r="C18" t="s">
        <v>7</v>
      </c>
      <c r="D18" t="s">
        <v>49</v>
      </c>
      <c r="E18" t="s">
        <v>50</v>
      </c>
    </row>
    <row r="19" spans="1:5" ht="17" x14ac:dyDescent="0.25">
      <c r="A19" s="3">
        <v>18</v>
      </c>
      <c r="B19" s="2" t="s">
        <v>51</v>
      </c>
      <c r="C19" t="s">
        <v>11</v>
      </c>
      <c r="D19" t="s">
        <v>12</v>
      </c>
      <c r="E19" t="s">
        <v>52</v>
      </c>
    </row>
    <row r="20" spans="1:5" ht="17" x14ac:dyDescent="0.25">
      <c r="A20" s="3">
        <v>19</v>
      </c>
      <c r="B20" s="2" t="s">
        <v>53</v>
      </c>
      <c r="C20" t="s">
        <v>11</v>
      </c>
      <c r="D20" t="s">
        <v>12</v>
      </c>
      <c r="E20" t="s">
        <v>54</v>
      </c>
    </row>
    <row r="21" spans="1:5" ht="17" x14ac:dyDescent="0.25">
      <c r="A21" s="3">
        <v>20</v>
      </c>
      <c r="B21" s="2" t="s">
        <v>55</v>
      </c>
      <c r="C21" t="s">
        <v>11</v>
      </c>
      <c r="D21" t="s">
        <v>12</v>
      </c>
      <c r="E21" t="s">
        <v>56</v>
      </c>
    </row>
    <row r="22" spans="1:5" ht="17" x14ac:dyDescent="0.25">
      <c r="A22" s="3">
        <v>21</v>
      </c>
      <c r="B22" s="2" t="s">
        <v>57</v>
      </c>
      <c r="C22" t="s">
        <v>11</v>
      </c>
      <c r="D22" t="s">
        <v>12</v>
      </c>
      <c r="E22" t="s">
        <v>58</v>
      </c>
    </row>
    <row r="23" spans="1:5" ht="17" x14ac:dyDescent="0.25">
      <c r="A23">
        <v>22</v>
      </c>
      <c r="B23" s="2" t="s">
        <v>59</v>
      </c>
      <c r="C23" t="s">
        <v>7</v>
      </c>
      <c r="D23" t="s">
        <v>8</v>
      </c>
      <c r="E23" t="s">
        <v>60</v>
      </c>
    </row>
    <row r="24" spans="1:5" ht="17" x14ac:dyDescent="0.25">
      <c r="A24">
        <v>23</v>
      </c>
      <c r="B24" s="2" t="s">
        <v>61</v>
      </c>
      <c r="C24" t="s">
        <v>7</v>
      </c>
      <c r="D24" t="s">
        <v>8</v>
      </c>
      <c r="E24" t="s">
        <v>62</v>
      </c>
    </row>
    <row r="25" spans="1:5" ht="17" x14ac:dyDescent="0.25">
      <c r="A25">
        <v>24</v>
      </c>
      <c r="B25" s="2" t="s">
        <v>63</v>
      </c>
      <c r="C25" t="s">
        <v>7</v>
      </c>
      <c r="D25" t="s">
        <v>8</v>
      </c>
      <c r="E25" t="s">
        <v>64</v>
      </c>
    </row>
    <row r="26" spans="1:5" ht="17" x14ac:dyDescent="0.25">
      <c r="A26">
        <v>25</v>
      </c>
      <c r="B26" s="2" t="s">
        <v>65</v>
      </c>
      <c r="C26" t="s">
        <v>7</v>
      </c>
      <c r="D26" t="s">
        <v>8</v>
      </c>
      <c r="E26" t="s">
        <v>66</v>
      </c>
    </row>
    <row r="27" spans="1:5" ht="17" x14ac:dyDescent="0.25">
      <c r="A27">
        <v>26</v>
      </c>
      <c r="B27" s="2" t="s">
        <v>67</v>
      </c>
      <c r="C27" t="s">
        <v>7</v>
      </c>
      <c r="D27" t="s">
        <v>8</v>
      </c>
      <c r="E27" t="s">
        <v>68</v>
      </c>
    </row>
    <row r="28" spans="1:5" ht="17" x14ac:dyDescent="0.25">
      <c r="A28">
        <v>27</v>
      </c>
      <c r="B28" s="2" t="s">
        <v>69</v>
      </c>
      <c r="C28" t="s">
        <v>7</v>
      </c>
      <c r="D28" t="s">
        <v>8</v>
      </c>
      <c r="E28" t="s">
        <v>70</v>
      </c>
    </row>
    <row r="29" spans="1:5" ht="17" x14ac:dyDescent="0.25">
      <c r="A29">
        <v>28</v>
      </c>
      <c r="B29" s="2" t="s">
        <v>71</v>
      </c>
      <c r="C29" t="s">
        <v>7</v>
      </c>
      <c r="D29" t="s">
        <v>8</v>
      </c>
      <c r="E29" t="s">
        <v>72</v>
      </c>
    </row>
    <row r="30" spans="1:5" ht="17" x14ac:dyDescent="0.25">
      <c r="A30">
        <v>29</v>
      </c>
      <c r="B30" s="2" t="s">
        <v>73</v>
      </c>
      <c r="C30" t="s">
        <v>7</v>
      </c>
      <c r="D30" t="s">
        <v>8</v>
      </c>
      <c r="E30" t="s">
        <v>74</v>
      </c>
    </row>
    <row r="31" spans="1:5" ht="17" x14ac:dyDescent="0.25">
      <c r="A31">
        <v>30</v>
      </c>
      <c r="B31" s="2" t="s">
        <v>75</v>
      </c>
      <c r="C31" t="s">
        <v>7</v>
      </c>
      <c r="D31" t="s">
        <v>8</v>
      </c>
      <c r="E31" t="s">
        <v>76</v>
      </c>
    </row>
    <row r="32" spans="1:5" ht="17" x14ac:dyDescent="0.25">
      <c r="A32">
        <v>31</v>
      </c>
      <c r="B32" s="2" t="s">
        <v>77</v>
      </c>
      <c r="C32" t="s">
        <v>7</v>
      </c>
      <c r="D32" t="s">
        <v>8</v>
      </c>
      <c r="E32" t="s">
        <v>78</v>
      </c>
    </row>
    <row r="33" spans="1:5" ht="17" x14ac:dyDescent="0.25">
      <c r="A33">
        <v>32</v>
      </c>
      <c r="B33" s="2" t="s">
        <v>79</v>
      </c>
      <c r="C33" t="s">
        <v>7</v>
      </c>
      <c r="D33" t="s">
        <v>8</v>
      </c>
      <c r="E33" t="s">
        <v>80</v>
      </c>
    </row>
    <row r="34" spans="1:5" ht="17" x14ac:dyDescent="0.25">
      <c r="A34">
        <v>33</v>
      </c>
      <c r="B34" s="2" t="s">
        <v>81</v>
      </c>
      <c r="C34" t="s">
        <v>7</v>
      </c>
      <c r="D34" t="s">
        <v>8</v>
      </c>
      <c r="E3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67A9-481E-1044-AEF6-7EDDF46D0122}">
  <dimension ref="A1:G39"/>
  <sheetViews>
    <sheetView zoomScale="109" workbookViewId="0">
      <selection activeCell="A2" sqref="A2:G174"/>
    </sheetView>
  </sheetViews>
  <sheetFormatPr baseColWidth="10" defaultColWidth="10.83203125" defaultRowHeight="16" x14ac:dyDescent="0.2"/>
  <cols>
    <col min="1" max="1" width="10.83203125" style="4"/>
    <col min="2" max="2" width="11.1640625" style="4" customWidth="1"/>
    <col min="3" max="3" width="33.1640625" style="4" customWidth="1"/>
    <col min="4" max="4" width="10.83203125" style="4"/>
    <col min="5" max="5" width="11.33203125" style="4" customWidth="1"/>
    <col min="6" max="16384" width="10.83203125" style="4"/>
  </cols>
  <sheetData>
    <row r="1" spans="1:7" x14ac:dyDescent="0.2">
      <c r="A1" s="3" t="s">
        <v>83</v>
      </c>
      <c r="B1" s="3" t="s">
        <v>84</v>
      </c>
      <c r="C1" s="3" t="s">
        <v>85</v>
      </c>
      <c r="D1" s="3" t="s">
        <v>86</v>
      </c>
      <c r="E1" s="4" t="s">
        <v>87</v>
      </c>
      <c r="F1" s="3" t="s">
        <v>88</v>
      </c>
      <c r="G1" s="3" t="s">
        <v>89</v>
      </c>
    </row>
    <row r="2" spans="1:7" x14ac:dyDescent="0.2">
      <c r="A2" s="4" t="s">
        <v>10</v>
      </c>
      <c r="B2" s="4" t="s">
        <v>90</v>
      </c>
      <c r="C2" s="4" t="s">
        <v>91</v>
      </c>
      <c r="D2" s="4" t="s">
        <v>92</v>
      </c>
      <c r="E2" s="4">
        <v>17</v>
      </c>
      <c r="F2" t="s">
        <v>93</v>
      </c>
      <c r="G2" t="s">
        <v>94</v>
      </c>
    </row>
    <row r="3" spans="1:7" x14ac:dyDescent="0.2">
      <c r="A3" s="4" t="s">
        <v>14</v>
      </c>
      <c r="B3" s="4" t="s">
        <v>95</v>
      </c>
      <c r="C3" s="4" t="s">
        <v>96</v>
      </c>
      <c r="D3" s="4" t="s">
        <v>92</v>
      </c>
      <c r="E3" s="4">
        <v>13</v>
      </c>
      <c r="F3" t="s">
        <v>97</v>
      </c>
      <c r="G3" t="s">
        <v>98</v>
      </c>
    </row>
    <row r="4" spans="1:7" x14ac:dyDescent="0.2">
      <c r="A4" s="4" t="s">
        <v>23</v>
      </c>
      <c r="B4" s="4" t="s">
        <v>99</v>
      </c>
      <c r="C4" s="4" t="s">
        <v>100</v>
      </c>
      <c r="D4" s="4" t="s">
        <v>101</v>
      </c>
      <c r="E4" s="4">
        <v>14</v>
      </c>
      <c r="F4" t="s">
        <v>102</v>
      </c>
      <c r="G4" t="s">
        <v>103</v>
      </c>
    </row>
    <row r="5" spans="1:7" x14ac:dyDescent="0.2">
      <c r="A5" s="4" t="s">
        <v>26</v>
      </c>
      <c r="B5" s="4" t="s">
        <v>104</v>
      </c>
      <c r="C5" s="4" t="s">
        <v>100</v>
      </c>
      <c r="D5" s="4" t="s">
        <v>101</v>
      </c>
      <c r="E5" s="4">
        <v>16</v>
      </c>
      <c r="F5" t="s">
        <v>102</v>
      </c>
      <c r="G5" t="s">
        <v>103</v>
      </c>
    </row>
    <row r="6" spans="1:7" x14ac:dyDescent="0.2">
      <c r="A6" s="4" t="s">
        <v>41</v>
      </c>
      <c r="B6" s="4" t="s">
        <v>105</v>
      </c>
      <c r="C6" s="4" t="s">
        <v>106</v>
      </c>
      <c r="D6" s="4" t="s">
        <v>101</v>
      </c>
      <c r="E6" s="4">
        <v>12</v>
      </c>
      <c r="F6" t="s">
        <v>107</v>
      </c>
      <c r="G6" t="s">
        <v>108</v>
      </c>
    </row>
    <row r="7" spans="1:7" x14ac:dyDescent="0.2">
      <c r="A7" s="4" t="s">
        <v>17</v>
      </c>
      <c r="B7" s="4" t="s">
        <v>109</v>
      </c>
      <c r="C7" s="4" t="s">
        <v>110</v>
      </c>
      <c r="D7" s="4" t="s">
        <v>101</v>
      </c>
      <c r="E7" s="4">
        <v>6</v>
      </c>
      <c r="F7" t="s">
        <v>102</v>
      </c>
      <c r="G7" t="s">
        <v>111</v>
      </c>
    </row>
    <row r="8" spans="1:7" x14ac:dyDescent="0.2">
      <c r="A8" s="4" t="s">
        <v>33</v>
      </c>
      <c r="B8" s="4" t="s">
        <v>112</v>
      </c>
      <c r="C8" s="4" t="s">
        <v>113</v>
      </c>
      <c r="D8" s="4" t="s">
        <v>101</v>
      </c>
      <c r="E8" s="4">
        <v>8</v>
      </c>
      <c r="F8" t="s">
        <v>114</v>
      </c>
      <c r="G8" t="s">
        <v>115</v>
      </c>
    </row>
    <row r="9" spans="1:7" x14ac:dyDescent="0.2">
      <c r="A9" s="4" t="s">
        <v>35</v>
      </c>
      <c r="B9" s="4" t="s">
        <v>116</v>
      </c>
      <c r="C9" s="4" t="s">
        <v>113</v>
      </c>
      <c r="D9" s="4" t="s">
        <v>101</v>
      </c>
      <c r="E9" s="4">
        <v>10</v>
      </c>
      <c r="F9" t="s">
        <v>114</v>
      </c>
      <c r="G9" t="s">
        <v>115</v>
      </c>
    </row>
    <row r="10" spans="1:7" x14ac:dyDescent="0.2">
      <c r="A10" s="4" t="s">
        <v>28</v>
      </c>
      <c r="B10" s="4" t="s">
        <v>117</v>
      </c>
      <c r="C10" s="4" t="s">
        <v>100</v>
      </c>
      <c r="D10" s="4" t="s">
        <v>92</v>
      </c>
      <c r="E10" s="4">
        <v>14</v>
      </c>
      <c r="F10" t="s">
        <v>102</v>
      </c>
      <c r="G10" t="s">
        <v>103</v>
      </c>
    </row>
    <row r="11" spans="1:7" x14ac:dyDescent="0.2">
      <c r="A11" s="4" t="s">
        <v>31</v>
      </c>
      <c r="B11" s="4" t="s">
        <v>118</v>
      </c>
      <c r="C11" s="4" t="s">
        <v>100</v>
      </c>
      <c r="D11" s="4" t="s">
        <v>92</v>
      </c>
      <c r="E11" s="4">
        <v>16</v>
      </c>
      <c r="F11" t="s">
        <v>102</v>
      </c>
      <c r="G11" t="s">
        <v>103</v>
      </c>
    </row>
    <row r="12" spans="1:7" x14ac:dyDescent="0.2">
      <c r="A12" s="4" t="s">
        <v>43</v>
      </c>
      <c r="B12" s="4" t="s">
        <v>119</v>
      </c>
      <c r="C12" s="4" t="s">
        <v>120</v>
      </c>
      <c r="D12" s="4" t="s">
        <v>92</v>
      </c>
      <c r="E12" s="4">
        <v>12</v>
      </c>
      <c r="F12" t="s">
        <v>107</v>
      </c>
      <c r="G12" t="s">
        <v>108</v>
      </c>
    </row>
    <row r="13" spans="1:7" x14ac:dyDescent="0.2">
      <c r="A13" s="4" t="s">
        <v>20</v>
      </c>
      <c r="B13" s="4" t="s">
        <v>121</v>
      </c>
      <c r="C13" s="4" t="s">
        <v>122</v>
      </c>
      <c r="D13" s="4" t="s">
        <v>92</v>
      </c>
      <c r="E13" s="4">
        <v>6</v>
      </c>
      <c r="F13" t="s">
        <v>102</v>
      </c>
      <c r="G13" t="s">
        <v>111</v>
      </c>
    </row>
    <row r="14" spans="1:7" x14ac:dyDescent="0.2">
      <c r="A14" s="4" t="s">
        <v>37</v>
      </c>
      <c r="B14" s="4" t="s">
        <v>123</v>
      </c>
      <c r="C14" s="4" t="s">
        <v>113</v>
      </c>
      <c r="D14" s="4" t="s">
        <v>92</v>
      </c>
      <c r="E14" s="4">
        <v>8</v>
      </c>
      <c r="F14" t="s">
        <v>114</v>
      </c>
      <c r="G14" t="s">
        <v>115</v>
      </c>
    </row>
    <row r="15" spans="1:7" x14ac:dyDescent="0.2">
      <c r="A15" s="4" t="s">
        <v>39</v>
      </c>
      <c r="B15" s="4" t="s">
        <v>124</v>
      </c>
      <c r="C15" s="1" t="s">
        <v>125</v>
      </c>
      <c r="D15" s="4" t="s">
        <v>92</v>
      </c>
      <c r="E15" s="4">
        <v>10</v>
      </c>
      <c r="F15" t="s">
        <v>114</v>
      </c>
      <c r="G15" t="s">
        <v>115</v>
      </c>
    </row>
    <row r="16" spans="1:7" x14ac:dyDescent="0.2">
      <c r="A16" s="4" t="s">
        <v>59</v>
      </c>
      <c r="B16" s="4" t="s">
        <v>126</v>
      </c>
      <c r="C16" s="4" t="s">
        <v>127</v>
      </c>
      <c r="D16" s="4" t="s">
        <v>92</v>
      </c>
      <c r="E16" s="4">
        <v>1</v>
      </c>
      <c r="F16" t="s">
        <v>128</v>
      </c>
      <c r="G16" t="s">
        <v>129</v>
      </c>
    </row>
    <row r="17" spans="1:7" x14ac:dyDescent="0.2">
      <c r="A17" s="4" t="s">
        <v>61</v>
      </c>
      <c r="B17" s="4" t="s">
        <v>130</v>
      </c>
      <c r="C17" s="4" t="s">
        <v>131</v>
      </c>
      <c r="D17" s="4" t="s">
        <v>92</v>
      </c>
      <c r="E17" s="4">
        <v>3</v>
      </c>
      <c r="F17" t="s">
        <v>128</v>
      </c>
      <c r="G17" t="s">
        <v>129</v>
      </c>
    </row>
    <row r="18" spans="1:7" x14ac:dyDescent="0.2">
      <c r="A18" s="4" t="s">
        <v>63</v>
      </c>
      <c r="B18" s="4" t="s">
        <v>132</v>
      </c>
      <c r="C18" s="4" t="s">
        <v>133</v>
      </c>
      <c r="D18" s="1" t="s">
        <v>92</v>
      </c>
      <c r="E18" s="4">
        <v>5</v>
      </c>
      <c r="F18" t="s">
        <v>128</v>
      </c>
      <c r="G18" t="s">
        <v>129</v>
      </c>
    </row>
    <row r="19" spans="1:7" x14ac:dyDescent="0.2">
      <c r="A19" s="4" t="s">
        <v>65</v>
      </c>
      <c r="B19" s="4" t="s">
        <v>134</v>
      </c>
      <c r="C19" s="4" t="s">
        <v>135</v>
      </c>
      <c r="D19" s="4" t="s">
        <v>92</v>
      </c>
      <c r="E19" s="4">
        <v>7</v>
      </c>
      <c r="F19" t="s">
        <v>128</v>
      </c>
      <c r="G19" t="s">
        <v>129</v>
      </c>
    </row>
    <row r="20" spans="1:7" x14ac:dyDescent="0.2">
      <c r="A20" s="4" t="s">
        <v>67</v>
      </c>
      <c r="B20" s="4" t="s">
        <v>136</v>
      </c>
      <c r="C20" s="4" t="s">
        <v>137</v>
      </c>
      <c r="D20" s="4" t="s">
        <v>92</v>
      </c>
      <c r="E20" s="4">
        <v>9</v>
      </c>
      <c r="F20" t="s">
        <v>128</v>
      </c>
      <c r="G20" t="s">
        <v>129</v>
      </c>
    </row>
    <row r="21" spans="1:7" x14ac:dyDescent="0.2">
      <c r="A21" s="4" t="s">
        <v>69</v>
      </c>
      <c r="B21" s="4" t="s">
        <v>138</v>
      </c>
      <c r="C21" s="4" t="s">
        <v>139</v>
      </c>
      <c r="D21" s="4" t="s">
        <v>92</v>
      </c>
      <c r="E21" s="4">
        <v>11</v>
      </c>
      <c r="F21" t="s">
        <v>128</v>
      </c>
      <c r="G21" t="s">
        <v>129</v>
      </c>
    </row>
    <row r="22" spans="1:7" x14ac:dyDescent="0.2">
      <c r="A22" s="4" t="s">
        <v>71</v>
      </c>
      <c r="B22" s="4" t="s">
        <v>140</v>
      </c>
      <c r="C22" s="4" t="s">
        <v>141</v>
      </c>
      <c r="D22" s="4" t="s">
        <v>101</v>
      </c>
      <c r="E22" s="4">
        <v>1</v>
      </c>
      <c r="F22" t="s">
        <v>128</v>
      </c>
      <c r="G22" t="s">
        <v>129</v>
      </c>
    </row>
    <row r="23" spans="1:7" x14ac:dyDescent="0.2">
      <c r="A23" s="4" t="s">
        <v>73</v>
      </c>
      <c r="B23" s="4" t="s">
        <v>142</v>
      </c>
      <c r="C23" s="4" t="s">
        <v>143</v>
      </c>
      <c r="D23" s="4" t="s">
        <v>101</v>
      </c>
      <c r="E23" s="4">
        <v>3</v>
      </c>
      <c r="F23" t="s">
        <v>128</v>
      </c>
      <c r="G23" t="s">
        <v>129</v>
      </c>
    </row>
    <row r="24" spans="1:7" x14ac:dyDescent="0.2">
      <c r="A24" s="4" t="s">
        <v>75</v>
      </c>
      <c r="B24" s="4" t="s">
        <v>144</v>
      </c>
      <c r="C24" s="4" t="s">
        <v>145</v>
      </c>
      <c r="D24" s="4" t="s">
        <v>101</v>
      </c>
      <c r="E24" s="4">
        <v>5</v>
      </c>
      <c r="F24" t="s">
        <v>128</v>
      </c>
      <c r="G24" t="s">
        <v>129</v>
      </c>
    </row>
    <row r="25" spans="1:7" x14ac:dyDescent="0.2">
      <c r="A25" s="4" t="s">
        <v>77</v>
      </c>
      <c r="B25" s="4" t="s">
        <v>146</v>
      </c>
      <c r="C25" s="4" t="s">
        <v>147</v>
      </c>
      <c r="D25" s="4" t="s">
        <v>101</v>
      </c>
      <c r="E25" s="4">
        <v>7</v>
      </c>
      <c r="F25" t="s">
        <v>128</v>
      </c>
      <c r="G25" t="s">
        <v>129</v>
      </c>
    </row>
    <row r="26" spans="1:7" x14ac:dyDescent="0.2">
      <c r="A26" s="4" t="s">
        <v>79</v>
      </c>
      <c r="B26" s="4" t="s">
        <v>148</v>
      </c>
      <c r="C26" s="4" t="s">
        <v>149</v>
      </c>
      <c r="D26" s="4" t="s">
        <v>101</v>
      </c>
      <c r="E26" s="4">
        <v>9</v>
      </c>
      <c r="F26" t="s">
        <v>128</v>
      </c>
      <c r="G26" t="s">
        <v>129</v>
      </c>
    </row>
    <row r="27" spans="1:7" x14ac:dyDescent="0.2">
      <c r="A27" s="4" t="s">
        <v>81</v>
      </c>
      <c r="B27" s="4" t="s">
        <v>150</v>
      </c>
      <c r="C27" s="4" t="s">
        <v>149</v>
      </c>
      <c r="D27" s="4" t="s">
        <v>101</v>
      </c>
      <c r="E27" s="4">
        <v>11</v>
      </c>
      <c r="F27" t="s">
        <v>128</v>
      </c>
      <c r="G27" t="s">
        <v>129</v>
      </c>
    </row>
    <row r="28" spans="1:7" x14ac:dyDescent="0.2">
      <c r="A28" s="4" t="s">
        <v>48</v>
      </c>
      <c r="B28" s="4" t="s">
        <v>151</v>
      </c>
      <c r="C28" s="4" t="s">
        <v>152</v>
      </c>
      <c r="F28" t="s">
        <v>128</v>
      </c>
      <c r="G28" t="s">
        <v>153</v>
      </c>
    </row>
    <row r="29" spans="1:7" x14ac:dyDescent="0.2">
      <c r="A29" s="4" t="s">
        <v>45</v>
      </c>
      <c r="B29" s="4" t="s">
        <v>154</v>
      </c>
      <c r="C29" s="4" t="s">
        <v>155</v>
      </c>
      <c r="F29" t="s">
        <v>128</v>
      </c>
      <c r="G29" t="s">
        <v>153</v>
      </c>
    </row>
    <row r="30" spans="1:7" x14ac:dyDescent="0.2">
      <c r="A30" s="6" t="s">
        <v>156</v>
      </c>
      <c r="B30" s="4" t="s">
        <v>157</v>
      </c>
      <c r="C30" s="4" t="s">
        <v>158</v>
      </c>
      <c r="D30" s="4" t="s">
        <v>92</v>
      </c>
      <c r="E30" s="4">
        <v>15</v>
      </c>
      <c r="F30" t="s">
        <v>159</v>
      </c>
      <c r="G30" t="s">
        <v>160</v>
      </c>
    </row>
    <row r="31" spans="1:7" x14ac:dyDescent="0.2">
      <c r="A31" s="4" t="s">
        <v>51</v>
      </c>
      <c r="B31" s="4" t="s">
        <v>161</v>
      </c>
      <c r="C31" s="4" t="s">
        <v>162</v>
      </c>
      <c r="D31" s="4" t="s">
        <v>101</v>
      </c>
      <c r="E31" s="4">
        <v>13</v>
      </c>
      <c r="F31" t="s">
        <v>128</v>
      </c>
      <c r="G31" t="s">
        <v>163</v>
      </c>
    </row>
    <row r="32" spans="1:7" x14ac:dyDescent="0.2">
      <c r="A32" s="4" t="s">
        <v>53</v>
      </c>
      <c r="B32" s="4" t="s">
        <v>164</v>
      </c>
      <c r="C32" s="4" t="s">
        <v>165</v>
      </c>
      <c r="D32" s="4" t="s">
        <v>101</v>
      </c>
      <c r="E32" s="4">
        <v>15</v>
      </c>
      <c r="F32" t="s">
        <v>128</v>
      </c>
      <c r="G32" t="s">
        <v>163</v>
      </c>
    </row>
    <row r="33" spans="1:7" x14ac:dyDescent="0.2">
      <c r="A33" s="4" t="s">
        <v>55</v>
      </c>
      <c r="B33" s="4" t="s">
        <v>166</v>
      </c>
      <c r="C33" s="4" t="s">
        <v>167</v>
      </c>
      <c r="D33" s="4" t="s">
        <v>101</v>
      </c>
      <c r="E33" s="4">
        <v>17</v>
      </c>
      <c r="F33" t="s">
        <v>128</v>
      </c>
      <c r="G33" t="s">
        <v>163</v>
      </c>
    </row>
    <row r="34" spans="1:7" x14ac:dyDescent="0.2">
      <c r="A34" s="4" t="s">
        <v>57</v>
      </c>
      <c r="B34" s="4" t="s">
        <v>168</v>
      </c>
      <c r="C34" s="4" t="s">
        <v>169</v>
      </c>
      <c r="D34" s="4" t="s">
        <v>101</v>
      </c>
      <c r="E34" s="4">
        <v>19</v>
      </c>
      <c r="F34" t="s">
        <v>128</v>
      </c>
      <c r="G34" t="s">
        <v>163</v>
      </c>
    </row>
    <row r="35" spans="1:7" x14ac:dyDescent="0.2">
      <c r="A35" s="4" t="s">
        <v>170</v>
      </c>
      <c r="B35" t="s">
        <v>171</v>
      </c>
      <c r="D35" t="s">
        <v>92</v>
      </c>
      <c r="E35" s="4">
        <v>19</v>
      </c>
      <c r="F35" t="s">
        <v>172</v>
      </c>
    </row>
    <row r="36" spans="1:7" x14ac:dyDescent="0.2">
      <c r="A36" s="4" t="s">
        <v>170</v>
      </c>
      <c r="B36" t="s">
        <v>173</v>
      </c>
      <c r="D36" t="s">
        <v>92</v>
      </c>
      <c r="E36" s="4">
        <v>20</v>
      </c>
      <c r="F36" t="s">
        <v>172</v>
      </c>
    </row>
    <row r="37" spans="1:7" x14ac:dyDescent="0.2">
      <c r="A37" s="4" t="s">
        <v>170</v>
      </c>
      <c r="B37" t="s">
        <v>174</v>
      </c>
      <c r="D37" t="s">
        <v>92</v>
      </c>
      <c r="E37" s="4">
        <v>18</v>
      </c>
      <c r="F37" t="s">
        <v>172</v>
      </c>
    </row>
    <row r="38" spans="1:7" x14ac:dyDescent="0.2">
      <c r="A38" s="4" t="s">
        <v>170</v>
      </c>
      <c r="B38" t="s">
        <v>175</v>
      </c>
      <c r="D38" t="s">
        <v>101</v>
      </c>
      <c r="E38" s="4">
        <v>18</v>
      </c>
      <c r="F38" t="s">
        <v>172</v>
      </c>
    </row>
    <row r="39" spans="1:7" x14ac:dyDescent="0.2">
      <c r="A39" s="4" t="s">
        <v>170</v>
      </c>
      <c r="B39" t="s">
        <v>176</v>
      </c>
      <c r="D39" t="s">
        <v>101</v>
      </c>
      <c r="E39" s="4">
        <v>20</v>
      </c>
      <c r="F39" t="s">
        <v>172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EF14-B415-2245-9C45-BB28BE6B96CF}">
  <dimension ref="A1:I50"/>
  <sheetViews>
    <sheetView tabSelected="1" zoomScale="125" workbookViewId="0">
      <selection activeCell="B17" sqref="B17"/>
    </sheetView>
  </sheetViews>
  <sheetFormatPr baseColWidth="10" defaultColWidth="11" defaultRowHeight="16" x14ac:dyDescent="0.2"/>
  <cols>
    <col min="3" max="3" width="11.1640625" customWidth="1"/>
    <col min="4" max="5" width="12.33203125" customWidth="1"/>
    <col min="6" max="6" width="26.6640625" customWidth="1"/>
    <col min="7" max="7" width="17.5" customWidth="1"/>
  </cols>
  <sheetData>
    <row r="1" spans="1:9" x14ac:dyDescent="0.2">
      <c r="A1" t="s">
        <v>177</v>
      </c>
    </row>
    <row r="2" spans="1:9" x14ac:dyDescent="0.2">
      <c r="A2" t="s">
        <v>326</v>
      </c>
      <c r="B2" t="s">
        <v>83</v>
      </c>
      <c r="C2" t="s">
        <v>2</v>
      </c>
      <c r="D2" t="s">
        <v>178</v>
      </c>
      <c r="E2" t="s">
        <v>179</v>
      </c>
      <c r="F2" t="s">
        <v>180</v>
      </c>
      <c r="G2" t="s">
        <v>85</v>
      </c>
      <c r="H2" t="s">
        <v>181</v>
      </c>
      <c r="I2" t="s">
        <v>182</v>
      </c>
    </row>
    <row r="3" spans="1:9" x14ac:dyDescent="0.2">
      <c r="A3">
        <v>8</v>
      </c>
      <c r="B3" t="s">
        <v>17</v>
      </c>
      <c r="C3" t="s">
        <v>183</v>
      </c>
      <c r="D3" t="s">
        <v>186</v>
      </c>
      <c r="E3" t="s">
        <v>101</v>
      </c>
      <c r="F3">
        <v>6</v>
      </c>
      <c r="G3" t="s">
        <v>327</v>
      </c>
      <c r="H3" t="s">
        <v>328</v>
      </c>
      <c r="I3" t="s">
        <v>329</v>
      </c>
    </row>
    <row r="4" spans="1:9" x14ac:dyDescent="0.2">
      <c r="A4">
        <v>7</v>
      </c>
      <c r="B4" t="s">
        <v>33</v>
      </c>
      <c r="C4" t="s">
        <v>7</v>
      </c>
      <c r="D4" t="s">
        <v>187</v>
      </c>
      <c r="E4" t="s">
        <v>101</v>
      </c>
      <c r="F4">
        <v>8</v>
      </c>
      <c r="G4" t="s">
        <v>330</v>
      </c>
      <c r="H4" t="s">
        <v>331</v>
      </c>
      <c r="I4" t="s">
        <v>332</v>
      </c>
    </row>
    <row r="5" spans="1:9" x14ac:dyDescent="0.2">
      <c r="A5">
        <v>6</v>
      </c>
      <c r="B5" t="s">
        <v>31</v>
      </c>
      <c r="C5" t="s">
        <v>11</v>
      </c>
      <c r="D5" t="s">
        <v>202</v>
      </c>
      <c r="E5" t="s">
        <v>92</v>
      </c>
      <c r="F5">
        <v>16</v>
      </c>
      <c r="G5" t="s">
        <v>333</v>
      </c>
      <c r="H5" t="s">
        <v>334</v>
      </c>
      <c r="I5" t="s">
        <v>335</v>
      </c>
    </row>
    <row r="6" spans="1:9" x14ac:dyDescent="0.2">
      <c r="A6">
        <v>5</v>
      </c>
      <c r="B6" t="s">
        <v>28</v>
      </c>
      <c r="C6" t="s">
        <v>11</v>
      </c>
      <c r="D6" t="s">
        <v>197</v>
      </c>
      <c r="E6" t="s">
        <v>92</v>
      </c>
      <c r="F6">
        <v>14</v>
      </c>
      <c r="G6" t="s">
        <v>336</v>
      </c>
      <c r="H6" t="s">
        <v>334</v>
      </c>
      <c r="I6" t="s">
        <v>335</v>
      </c>
    </row>
    <row r="7" spans="1:9" x14ac:dyDescent="0.2">
      <c r="A7">
        <v>4</v>
      </c>
      <c r="B7" t="s">
        <v>26</v>
      </c>
      <c r="C7" t="s">
        <v>11</v>
      </c>
      <c r="D7" t="s">
        <v>198</v>
      </c>
      <c r="E7" t="s">
        <v>101</v>
      </c>
      <c r="F7">
        <v>16</v>
      </c>
      <c r="G7" t="s">
        <v>337</v>
      </c>
      <c r="H7" t="s">
        <v>334</v>
      </c>
      <c r="I7" t="s">
        <v>335</v>
      </c>
    </row>
    <row r="8" spans="1:9" x14ac:dyDescent="0.2">
      <c r="A8">
        <v>3</v>
      </c>
      <c r="B8" t="s">
        <v>23</v>
      </c>
      <c r="C8" t="s">
        <v>11</v>
      </c>
      <c r="D8" t="s">
        <v>195</v>
      </c>
      <c r="E8" t="s">
        <v>101</v>
      </c>
      <c r="F8">
        <v>14</v>
      </c>
      <c r="G8" t="s">
        <v>338</v>
      </c>
      <c r="H8" t="s">
        <v>334</v>
      </c>
      <c r="I8" t="s">
        <v>335</v>
      </c>
    </row>
    <row r="9" spans="1:9" x14ac:dyDescent="0.2">
      <c r="A9">
        <v>2</v>
      </c>
      <c r="B9" t="s">
        <v>14</v>
      </c>
      <c r="C9" t="s">
        <v>11</v>
      </c>
      <c r="D9" t="s">
        <v>193</v>
      </c>
      <c r="E9" t="s">
        <v>92</v>
      </c>
      <c r="F9">
        <v>13</v>
      </c>
      <c r="G9" t="s">
        <v>339</v>
      </c>
      <c r="H9" t="s">
        <v>340</v>
      </c>
      <c r="I9" t="s">
        <v>341</v>
      </c>
    </row>
    <row r="10" spans="1:9" x14ac:dyDescent="0.2">
      <c r="A10" s="1">
        <v>1</v>
      </c>
      <c r="B10" s="1" t="s">
        <v>342</v>
      </c>
      <c r="C10" s="1" t="s">
        <v>7</v>
      </c>
      <c r="D10" s="1" t="s">
        <v>201</v>
      </c>
      <c r="E10" s="1" t="s">
        <v>92</v>
      </c>
      <c r="F10">
        <v>15</v>
      </c>
      <c r="G10" s="1" t="s">
        <v>343</v>
      </c>
      <c r="H10" t="s">
        <v>331</v>
      </c>
      <c r="I10" t="s">
        <v>344</v>
      </c>
    </row>
    <row r="11" spans="1:9" x14ac:dyDescent="0.2">
      <c r="A11">
        <v>12</v>
      </c>
      <c r="B11" t="s">
        <v>35</v>
      </c>
      <c r="C11" t="s">
        <v>7</v>
      </c>
      <c r="D11" t="s">
        <v>191</v>
      </c>
      <c r="E11" t="s">
        <v>101</v>
      </c>
      <c r="F11">
        <v>10</v>
      </c>
      <c r="G11" t="s">
        <v>345</v>
      </c>
      <c r="H11" t="s">
        <v>331</v>
      </c>
      <c r="I11" t="s">
        <v>346</v>
      </c>
    </row>
    <row r="12" spans="1:9" x14ac:dyDescent="0.2">
      <c r="A12">
        <v>11</v>
      </c>
      <c r="B12" t="s">
        <v>53</v>
      </c>
      <c r="C12" t="s">
        <v>11</v>
      </c>
      <c r="D12" t="s">
        <v>196</v>
      </c>
      <c r="E12" t="s">
        <v>101</v>
      </c>
      <c r="F12">
        <v>15</v>
      </c>
      <c r="G12" t="s">
        <v>347</v>
      </c>
      <c r="H12" t="s">
        <v>348</v>
      </c>
      <c r="I12" t="s">
        <v>349</v>
      </c>
    </row>
    <row r="13" spans="1:9" x14ac:dyDescent="0.2">
      <c r="A13">
        <v>10</v>
      </c>
      <c r="B13" t="s">
        <v>51</v>
      </c>
      <c r="C13" t="s">
        <v>11</v>
      </c>
      <c r="D13" t="s">
        <v>194</v>
      </c>
      <c r="E13" t="s">
        <v>101</v>
      </c>
      <c r="F13">
        <v>13</v>
      </c>
      <c r="G13" t="s">
        <v>350</v>
      </c>
      <c r="H13" t="s">
        <v>348</v>
      </c>
      <c r="I13" t="s">
        <v>349</v>
      </c>
    </row>
    <row r="14" spans="1:9" x14ac:dyDescent="0.2">
      <c r="A14">
        <v>9</v>
      </c>
      <c r="B14" t="s">
        <v>20</v>
      </c>
      <c r="C14" t="s">
        <v>183</v>
      </c>
      <c r="D14" t="s">
        <v>184</v>
      </c>
      <c r="E14" t="s">
        <v>92</v>
      </c>
      <c r="F14">
        <v>6</v>
      </c>
      <c r="G14" t="s">
        <v>351</v>
      </c>
      <c r="H14" t="s">
        <v>328</v>
      </c>
      <c r="I14" t="s">
        <v>329</v>
      </c>
    </row>
    <row r="15" spans="1:9" x14ac:dyDescent="0.2">
      <c r="A15">
        <v>20</v>
      </c>
      <c r="B15" t="s">
        <v>39</v>
      </c>
      <c r="C15" t="s">
        <v>7</v>
      </c>
      <c r="D15" t="s">
        <v>188</v>
      </c>
      <c r="E15" t="s">
        <v>92</v>
      </c>
      <c r="F15">
        <v>10</v>
      </c>
      <c r="G15" t="s">
        <v>352</v>
      </c>
      <c r="H15" t="s">
        <v>331</v>
      </c>
      <c r="I15" t="s">
        <v>353</v>
      </c>
    </row>
    <row r="16" spans="1:9" x14ac:dyDescent="0.2">
      <c r="A16">
        <v>19</v>
      </c>
      <c r="B16" t="s">
        <v>37</v>
      </c>
      <c r="C16" t="s">
        <v>7</v>
      </c>
      <c r="D16" t="s">
        <v>185</v>
      </c>
      <c r="E16" t="s">
        <v>92</v>
      </c>
      <c r="F16">
        <v>8</v>
      </c>
      <c r="G16" t="s">
        <v>354</v>
      </c>
      <c r="H16" t="s">
        <v>331</v>
      </c>
      <c r="I16" t="s">
        <v>355</v>
      </c>
    </row>
    <row r="17" spans="1:9" x14ac:dyDescent="0.2">
      <c r="A17">
        <v>18</v>
      </c>
      <c r="B17" t="s">
        <v>356</v>
      </c>
      <c r="C17" t="s">
        <v>204</v>
      </c>
      <c r="D17" t="s">
        <v>208</v>
      </c>
      <c r="G17" t="s">
        <v>206</v>
      </c>
      <c r="H17" t="s">
        <v>357</v>
      </c>
      <c r="I17" t="s">
        <v>358</v>
      </c>
    </row>
    <row r="18" spans="1:9" x14ac:dyDescent="0.2">
      <c r="A18">
        <v>17</v>
      </c>
      <c r="B18" t="s">
        <v>359</v>
      </c>
      <c r="C18" t="s">
        <v>204</v>
      </c>
      <c r="D18" t="s">
        <v>205</v>
      </c>
      <c r="G18" t="s">
        <v>206</v>
      </c>
      <c r="H18" t="s">
        <v>357</v>
      </c>
      <c r="I18" t="s">
        <v>358</v>
      </c>
    </row>
    <row r="19" spans="1:9" x14ac:dyDescent="0.2">
      <c r="A19">
        <v>16</v>
      </c>
      <c r="B19" t="s">
        <v>57</v>
      </c>
      <c r="C19" t="s">
        <v>11</v>
      </c>
      <c r="D19" t="s">
        <v>200</v>
      </c>
      <c r="E19" t="s">
        <v>101</v>
      </c>
      <c r="F19">
        <v>19</v>
      </c>
      <c r="G19" t="s">
        <v>360</v>
      </c>
      <c r="H19" t="s">
        <v>348</v>
      </c>
      <c r="I19" t="s">
        <v>361</v>
      </c>
    </row>
    <row r="20" spans="1:9" x14ac:dyDescent="0.2">
      <c r="A20">
        <v>15</v>
      </c>
      <c r="B20" t="s">
        <v>55</v>
      </c>
      <c r="C20" t="s">
        <v>11</v>
      </c>
      <c r="D20" t="s">
        <v>199</v>
      </c>
      <c r="E20" t="s">
        <v>101</v>
      </c>
      <c r="F20">
        <v>17</v>
      </c>
      <c r="G20" t="s">
        <v>362</v>
      </c>
      <c r="H20" t="s">
        <v>348</v>
      </c>
      <c r="I20" t="s">
        <v>361</v>
      </c>
    </row>
    <row r="21" spans="1:9" x14ac:dyDescent="0.2">
      <c r="A21">
        <v>14</v>
      </c>
      <c r="B21" t="s">
        <v>41</v>
      </c>
      <c r="C21" t="s">
        <v>189</v>
      </c>
      <c r="D21" t="s">
        <v>192</v>
      </c>
      <c r="E21" t="s">
        <v>101</v>
      </c>
      <c r="F21">
        <v>12</v>
      </c>
      <c r="G21" t="s">
        <v>363</v>
      </c>
      <c r="H21" t="s">
        <v>364</v>
      </c>
      <c r="I21" t="s">
        <v>365</v>
      </c>
    </row>
    <row r="22" spans="1:9" x14ac:dyDescent="0.2">
      <c r="A22">
        <v>13</v>
      </c>
      <c r="B22" t="s">
        <v>43</v>
      </c>
      <c r="C22" t="s">
        <v>189</v>
      </c>
      <c r="D22" t="s">
        <v>190</v>
      </c>
      <c r="E22" t="s">
        <v>92</v>
      </c>
      <c r="F22">
        <v>12</v>
      </c>
      <c r="G22" t="s">
        <v>366</v>
      </c>
      <c r="H22" t="s">
        <v>364</v>
      </c>
      <c r="I22" t="s">
        <v>365</v>
      </c>
    </row>
    <row r="26" spans="1:9" x14ac:dyDescent="0.2">
      <c r="A26" t="s">
        <v>0</v>
      </c>
      <c r="B26" t="s">
        <v>83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</row>
    <row r="27" spans="1:9" hidden="1" x14ac:dyDescent="0.2">
      <c r="A27">
        <v>2</v>
      </c>
      <c r="B27" t="s">
        <v>59</v>
      </c>
      <c r="C27" s="4" t="s">
        <v>201</v>
      </c>
      <c r="D27" t="s">
        <v>92</v>
      </c>
      <c r="E27">
        <v>1</v>
      </c>
      <c r="F27" t="s">
        <v>128</v>
      </c>
      <c r="G27" t="s">
        <v>209</v>
      </c>
    </row>
    <row r="28" spans="1:9" hidden="1" x14ac:dyDescent="0.2">
      <c r="A28">
        <v>3</v>
      </c>
      <c r="B28" t="s">
        <v>61</v>
      </c>
      <c r="C28" t="s">
        <v>193</v>
      </c>
      <c r="D28" t="s">
        <v>92</v>
      </c>
      <c r="E28">
        <v>3</v>
      </c>
      <c r="F28" t="s">
        <v>128</v>
      </c>
      <c r="G28" t="s">
        <v>209</v>
      </c>
    </row>
    <row r="29" spans="1:9" hidden="1" x14ac:dyDescent="0.2">
      <c r="A29">
        <v>4</v>
      </c>
      <c r="B29" t="s">
        <v>63</v>
      </c>
      <c r="C29" t="s">
        <v>195</v>
      </c>
      <c r="D29" t="s">
        <v>92</v>
      </c>
      <c r="E29">
        <v>5</v>
      </c>
      <c r="F29" t="s">
        <v>128</v>
      </c>
      <c r="G29" t="s">
        <v>209</v>
      </c>
    </row>
    <row r="30" spans="1:9" hidden="1" x14ac:dyDescent="0.2">
      <c r="A30">
        <v>5</v>
      </c>
      <c r="B30" t="s">
        <v>65</v>
      </c>
      <c r="C30" t="s">
        <v>198</v>
      </c>
      <c r="D30" t="s">
        <v>92</v>
      </c>
      <c r="E30">
        <v>7</v>
      </c>
      <c r="F30" t="s">
        <v>128</v>
      </c>
      <c r="G30" t="s">
        <v>209</v>
      </c>
    </row>
    <row r="31" spans="1:9" hidden="1" x14ac:dyDescent="0.2">
      <c r="A31">
        <v>6</v>
      </c>
      <c r="B31" t="s">
        <v>67</v>
      </c>
      <c r="C31" t="s">
        <v>197</v>
      </c>
      <c r="D31" t="s">
        <v>92</v>
      </c>
      <c r="E31">
        <v>9</v>
      </c>
      <c r="F31" t="s">
        <v>128</v>
      </c>
      <c r="G31" t="s">
        <v>209</v>
      </c>
    </row>
    <row r="32" spans="1:9" hidden="1" x14ac:dyDescent="0.2">
      <c r="A32">
        <v>7</v>
      </c>
      <c r="B32" t="s">
        <v>69</v>
      </c>
      <c r="C32" t="s">
        <v>202</v>
      </c>
      <c r="D32" t="s">
        <v>92</v>
      </c>
      <c r="E32">
        <v>11</v>
      </c>
      <c r="F32" t="s">
        <v>128</v>
      </c>
      <c r="G32" t="s">
        <v>209</v>
      </c>
    </row>
    <row r="33" spans="1:7" hidden="1" x14ac:dyDescent="0.2">
      <c r="A33">
        <v>1</v>
      </c>
      <c r="B33" s="1" t="s">
        <v>10</v>
      </c>
      <c r="C33" s="1" t="s">
        <v>186</v>
      </c>
      <c r="D33" t="s">
        <v>92</v>
      </c>
      <c r="E33">
        <v>17</v>
      </c>
      <c r="F33" t="s">
        <v>210</v>
      </c>
      <c r="G33" t="s">
        <v>211</v>
      </c>
    </row>
    <row r="34" spans="1:7" x14ac:dyDescent="0.2">
      <c r="A34">
        <v>8</v>
      </c>
      <c r="B34" t="s">
        <v>71</v>
      </c>
      <c r="C34" t="s">
        <v>187</v>
      </c>
      <c r="D34" t="s">
        <v>101</v>
      </c>
      <c r="E34">
        <v>1</v>
      </c>
      <c r="F34" t="s">
        <v>128</v>
      </c>
      <c r="G34" t="s">
        <v>209</v>
      </c>
    </row>
    <row r="35" spans="1:7" x14ac:dyDescent="0.2">
      <c r="A35">
        <v>9</v>
      </c>
      <c r="B35" t="s">
        <v>73</v>
      </c>
      <c r="C35" t="s">
        <v>184</v>
      </c>
      <c r="D35" t="s">
        <v>101</v>
      </c>
      <c r="E35">
        <v>3</v>
      </c>
      <c r="F35" t="s">
        <v>128</v>
      </c>
      <c r="G35" t="s">
        <v>209</v>
      </c>
    </row>
    <row r="36" spans="1:7" x14ac:dyDescent="0.2">
      <c r="A36">
        <v>10</v>
      </c>
      <c r="B36" t="s">
        <v>75</v>
      </c>
      <c r="C36" t="s">
        <v>194</v>
      </c>
      <c r="D36" t="s">
        <v>101</v>
      </c>
      <c r="E36">
        <v>5</v>
      </c>
      <c r="F36" t="s">
        <v>128</v>
      </c>
      <c r="G36" t="s">
        <v>209</v>
      </c>
    </row>
    <row r="37" spans="1:7" x14ac:dyDescent="0.2">
      <c r="A37">
        <v>11</v>
      </c>
      <c r="B37" t="s">
        <v>77</v>
      </c>
      <c r="C37" t="s">
        <v>196</v>
      </c>
      <c r="D37" t="s">
        <v>101</v>
      </c>
      <c r="E37">
        <v>7</v>
      </c>
      <c r="F37" t="s">
        <v>128</v>
      </c>
      <c r="G37" t="s">
        <v>209</v>
      </c>
    </row>
    <row r="38" spans="1:7" x14ac:dyDescent="0.2">
      <c r="A38">
        <v>12</v>
      </c>
      <c r="B38" t="s">
        <v>79</v>
      </c>
      <c r="C38" t="s">
        <v>191</v>
      </c>
      <c r="D38" t="s">
        <v>101</v>
      </c>
      <c r="E38">
        <v>9</v>
      </c>
      <c r="F38" t="s">
        <v>128</v>
      </c>
      <c r="G38" t="s">
        <v>212</v>
      </c>
    </row>
    <row r="39" spans="1:7" x14ac:dyDescent="0.2">
      <c r="A39">
        <v>13</v>
      </c>
      <c r="B39" t="s">
        <v>81</v>
      </c>
      <c r="C39" t="s">
        <v>213</v>
      </c>
      <c r="D39" t="s">
        <v>101</v>
      </c>
      <c r="E39">
        <v>11</v>
      </c>
      <c r="F39" t="s">
        <v>128</v>
      </c>
      <c r="G39" t="s">
        <v>209</v>
      </c>
    </row>
    <row r="40" spans="1:7" x14ac:dyDescent="0.2">
      <c r="A40">
        <v>14</v>
      </c>
      <c r="B40" t="s">
        <v>203</v>
      </c>
      <c r="C40" t="s">
        <v>205</v>
      </c>
      <c r="F40" t="s">
        <v>214</v>
      </c>
      <c r="G40" t="s">
        <v>215</v>
      </c>
    </row>
    <row r="41" spans="1:7" x14ac:dyDescent="0.2">
      <c r="A41">
        <v>15</v>
      </c>
      <c r="B41" t="s">
        <v>207</v>
      </c>
      <c r="C41" t="s">
        <v>208</v>
      </c>
      <c r="F41" t="s">
        <v>214</v>
      </c>
      <c r="G41" t="s">
        <v>215</v>
      </c>
    </row>
    <row r="44" spans="1:7" x14ac:dyDescent="0.2">
      <c r="A44" t="s">
        <v>216</v>
      </c>
    </row>
    <row r="45" spans="1:7" x14ac:dyDescent="0.2">
      <c r="A45" s="1" t="s">
        <v>217</v>
      </c>
      <c r="B45" t="s">
        <v>179</v>
      </c>
      <c r="C45" t="s">
        <v>180</v>
      </c>
      <c r="D45" t="s">
        <v>218</v>
      </c>
    </row>
    <row r="46" spans="1:7" x14ac:dyDescent="0.2">
      <c r="A46" t="s">
        <v>192</v>
      </c>
      <c r="B46" t="s">
        <v>92</v>
      </c>
      <c r="C46">
        <v>19</v>
      </c>
      <c r="D46" t="s">
        <v>219</v>
      </c>
    </row>
    <row r="47" spans="1:7" x14ac:dyDescent="0.2">
      <c r="A47" t="s">
        <v>220</v>
      </c>
      <c r="B47" t="s">
        <v>92</v>
      </c>
      <c r="C47">
        <v>20</v>
      </c>
      <c r="D47" t="s">
        <v>219</v>
      </c>
    </row>
    <row r="48" spans="1:7" x14ac:dyDescent="0.2">
      <c r="A48" t="s">
        <v>221</v>
      </c>
      <c r="B48" t="s">
        <v>92</v>
      </c>
      <c r="C48">
        <v>18</v>
      </c>
      <c r="D48" t="s">
        <v>219</v>
      </c>
    </row>
    <row r="49" spans="1:4" x14ac:dyDescent="0.2">
      <c r="A49" t="s">
        <v>185</v>
      </c>
      <c r="B49" t="s">
        <v>101</v>
      </c>
      <c r="C49">
        <v>20</v>
      </c>
      <c r="D49" t="s">
        <v>219</v>
      </c>
    </row>
    <row r="50" spans="1:4" x14ac:dyDescent="0.2">
      <c r="A50" t="s">
        <v>188</v>
      </c>
      <c r="B50" t="s">
        <v>101</v>
      </c>
      <c r="C50">
        <v>18</v>
      </c>
      <c r="D50" t="s">
        <v>219</v>
      </c>
    </row>
  </sheetData>
  <phoneticPr fontId="5" type="noConversion"/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26A4-778B-7746-BAEB-4BE8AA043CEA}">
  <dimension ref="A1:F34"/>
  <sheetViews>
    <sheetView workbookViewId="0">
      <selection activeCell="D6" sqref="D6"/>
    </sheetView>
  </sheetViews>
  <sheetFormatPr baseColWidth="10" defaultColWidth="11" defaultRowHeight="16" x14ac:dyDescent="0.2"/>
  <cols>
    <col min="1" max="1" width="65" bestFit="1" customWidth="1"/>
    <col min="2" max="2" width="50" bestFit="1" customWidth="1"/>
    <col min="3" max="3" width="19.5" bestFit="1" customWidth="1"/>
    <col min="4" max="4" width="52" bestFit="1" customWidth="1"/>
    <col min="5" max="5" width="96" bestFit="1" customWidth="1"/>
    <col min="6" max="6" width="55.5" bestFit="1" customWidth="1"/>
  </cols>
  <sheetData>
    <row r="1" spans="1:6" x14ac:dyDescent="0.2">
      <c r="A1" t="s">
        <v>222</v>
      </c>
    </row>
    <row r="2" spans="1:6" x14ac:dyDescent="0.2">
      <c r="A2" s="1" t="s">
        <v>223</v>
      </c>
      <c r="B2" s="1" t="s">
        <v>224</v>
      </c>
      <c r="C2" s="1" t="s">
        <v>225</v>
      </c>
      <c r="D2" s="1" t="s">
        <v>226</v>
      </c>
      <c r="E2" s="1" t="s">
        <v>227</v>
      </c>
      <c r="F2" s="1" t="s">
        <v>85</v>
      </c>
    </row>
    <row r="3" spans="1:6" x14ac:dyDescent="0.2">
      <c r="A3" t="s">
        <v>10</v>
      </c>
      <c r="B3" t="s">
        <v>228</v>
      </c>
      <c r="C3" t="s">
        <v>229</v>
      </c>
      <c r="D3" t="s">
        <v>230</v>
      </c>
      <c r="E3" t="s">
        <v>231</v>
      </c>
      <c r="F3" t="s">
        <v>232</v>
      </c>
    </row>
    <row r="4" spans="1:6" x14ac:dyDescent="0.2">
      <c r="A4" t="s">
        <v>14</v>
      </c>
      <c r="B4" t="s">
        <v>233</v>
      </c>
      <c r="C4" s="1" t="s">
        <v>234</v>
      </c>
      <c r="D4" s="1" t="s">
        <v>235</v>
      </c>
      <c r="E4" t="s">
        <v>236</v>
      </c>
      <c r="F4" t="s">
        <v>237</v>
      </c>
    </row>
    <row r="5" spans="1:6" x14ac:dyDescent="0.2">
      <c r="A5" t="s">
        <v>238</v>
      </c>
      <c r="B5" t="s">
        <v>239</v>
      </c>
      <c r="C5" t="s">
        <v>240</v>
      </c>
      <c r="D5" t="s">
        <v>241</v>
      </c>
      <c r="E5" t="s">
        <v>242</v>
      </c>
      <c r="F5" t="s">
        <v>243</v>
      </c>
    </row>
    <row r="6" spans="1:6" x14ac:dyDescent="0.2">
      <c r="A6" t="s">
        <v>244</v>
      </c>
      <c r="B6" t="s">
        <v>245</v>
      </c>
      <c r="C6" t="s">
        <v>246</v>
      </c>
      <c r="D6" t="s">
        <v>247</v>
      </c>
      <c r="E6" t="s">
        <v>248</v>
      </c>
      <c r="F6" t="s">
        <v>249</v>
      </c>
    </row>
    <row r="7" spans="1:6" x14ac:dyDescent="0.2">
      <c r="A7" t="s">
        <v>250</v>
      </c>
      <c r="B7" t="s">
        <v>251</v>
      </c>
      <c r="C7" t="s">
        <v>252</v>
      </c>
      <c r="D7" t="s">
        <v>253</v>
      </c>
      <c r="E7" t="s">
        <v>254</v>
      </c>
      <c r="F7" t="s">
        <v>255</v>
      </c>
    </row>
    <row r="8" spans="1:6" x14ac:dyDescent="0.2">
      <c r="A8" t="s">
        <v>256</v>
      </c>
      <c r="B8" t="s">
        <v>257</v>
      </c>
      <c r="C8" t="s">
        <v>258</v>
      </c>
      <c r="D8" t="s">
        <v>259</v>
      </c>
      <c r="E8" t="s">
        <v>260</v>
      </c>
      <c r="F8" t="s">
        <v>261</v>
      </c>
    </row>
    <row r="9" spans="1:6" x14ac:dyDescent="0.2">
      <c r="A9" t="s">
        <v>262</v>
      </c>
      <c r="B9" t="s">
        <v>263</v>
      </c>
      <c r="C9" t="s">
        <v>7</v>
      </c>
      <c r="D9" t="s">
        <v>264</v>
      </c>
      <c r="E9" t="s">
        <v>265</v>
      </c>
      <c r="F9" t="s">
        <v>266</v>
      </c>
    </row>
    <row r="10" spans="1:6" x14ac:dyDescent="0.2">
      <c r="A10" t="s">
        <v>267</v>
      </c>
      <c r="B10" t="s">
        <v>268</v>
      </c>
      <c r="C10" t="s">
        <v>269</v>
      </c>
      <c r="D10" t="s">
        <v>270</v>
      </c>
      <c r="E10" t="s">
        <v>271</v>
      </c>
      <c r="F10" t="s">
        <v>272</v>
      </c>
    </row>
    <row r="11" spans="1:6" x14ac:dyDescent="0.2">
      <c r="A11" t="s">
        <v>273</v>
      </c>
      <c r="B11" t="s">
        <v>245</v>
      </c>
      <c r="C11" t="s">
        <v>274</v>
      </c>
      <c r="D11" t="s">
        <v>275</v>
      </c>
      <c r="E11" t="s">
        <v>276</v>
      </c>
      <c r="F11" t="s">
        <v>277</v>
      </c>
    </row>
    <row r="12" spans="1:6" x14ac:dyDescent="0.2">
      <c r="A12" t="s">
        <v>278</v>
      </c>
      <c r="B12" t="s">
        <v>279</v>
      </c>
      <c r="C12" t="s">
        <v>280</v>
      </c>
      <c r="D12" t="s">
        <v>281</v>
      </c>
      <c r="E12" t="s">
        <v>260</v>
      </c>
      <c r="F12" t="s">
        <v>282</v>
      </c>
    </row>
    <row r="13" spans="1:6" x14ac:dyDescent="0.2">
      <c r="A13" t="s">
        <v>283</v>
      </c>
      <c r="B13" t="s">
        <v>284</v>
      </c>
      <c r="C13" t="s">
        <v>285</v>
      </c>
      <c r="D13" t="s">
        <v>286</v>
      </c>
      <c r="E13" t="s">
        <v>260</v>
      </c>
      <c r="F13" t="s">
        <v>287</v>
      </c>
    </row>
    <row r="14" spans="1:6" x14ac:dyDescent="0.2">
      <c r="A14" t="s">
        <v>170</v>
      </c>
      <c r="B14" t="s">
        <v>288</v>
      </c>
      <c r="C14" t="s">
        <v>289</v>
      </c>
      <c r="D14" t="s">
        <v>290</v>
      </c>
      <c r="E14" t="s">
        <v>291</v>
      </c>
      <c r="F14" t="s">
        <v>292</v>
      </c>
    </row>
    <row r="16" spans="1:6" x14ac:dyDescent="0.2">
      <c r="A16" t="s">
        <v>293</v>
      </c>
    </row>
    <row r="17" spans="1:6" x14ac:dyDescent="0.2">
      <c r="A17" s="1" t="s">
        <v>294</v>
      </c>
      <c r="B17" s="1" t="s">
        <v>295</v>
      </c>
      <c r="C17" s="1" t="s">
        <v>296</v>
      </c>
      <c r="D17" s="1" t="s">
        <v>12</v>
      </c>
      <c r="E17" s="1" t="s">
        <v>297</v>
      </c>
      <c r="F17" s="1" t="s">
        <v>298</v>
      </c>
    </row>
    <row r="18" spans="1:6" x14ac:dyDescent="0.2">
      <c r="A18" t="s">
        <v>299</v>
      </c>
      <c r="B18">
        <v>1</v>
      </c>
      <c r="C18">
        <v>0</v>
      </c>
      <c r="D18" t="s">
        <v>300</v>
      </c>
      <c r="E18" t="s">
        <v>301</v>
      </c>
      <c r="F18" t="s">
        <v>302</v>
      </c>
    </row>
    <row r="19" spans="1:6" x14ac:dyDescent="0.2">
      <c r="A19" t="s">
        <v>303</v>
      </c>
      <c r="B19">
        <v>0</v>
      </c>
      <c r="C19">
        <v>1</v>
      </c>
      <c r="D19" t="s">
        <v>300</v>
      </c>
      <c r="E19" t="s">
        <v>301</v>
      </c>
      <c r="F19" t="s">
        <v>304</v>
      </c>
    </row>
    <row r="20" spans="1:6" x14ac:dyDescent="0.2">
      <c r="A20" t="s">
        <v>305</v>
      </c>
      <c r="B20">
        <v>1</v>
      </c>
      <c r="C20">
        <v>1</v>
      </c>
      <c r="D20" s="5">
        <v>1</v>
      </c>
      <c r="E20" t="s">
        <v>301</v>
      </c>
      <c r="F20" t="s">
        <v>306</v>
      </c>
    </row>
    <row r="21" spans="1:6" x14ac:dyDescent="0.2">
      <c r="A21" t="s">
        <v>307</v>
      </c>
      <c r="B21">
        <v>0</v>
      </c>
      <c r="C21">
        <v>0</v>
      </c>
      <c r="D21" s="5">
        <v>1</v>
      </c>
      <c r="E21" t="s">
        <v>301</v>
      </c>
      <c r="F21" t="s">
        <v>308</v>
      </c>
    </row>
    <row r="22" spans="1:6" x14ac:dyDescent="0.2">
      <c r="A22" t="s">
        <v>309</v>
      </c>
      <c r="B22" t="s">
        <v>310</v>
      </c>
      <c r="C22" t="s">
        <v>310</v>
      </c>
      <c r="D22" s="5">
        <v>0</v>
      </c>
      <c r="E22" t="s">
        <v>301</v>
      </c>
      <c r="F22" t="s">
        <v>311</v>
      </c>
    </row>
    <row r="23" spans="1:6" x14ac:dyDescent="0.2">
      <c r="A23" t="s">
        <v>312</v>
      </c>
      <c r="B23" t="s">
        <v>313</v>
      </c>
      <c r="C23" t="s">
        <v>313</v>
      </c>
      <c r="D23" s="5">
        <v>0</v>
      </c>
      <c r="E23" t="s">
        <v>314</v>
      </c>
      <c r="F23" t="s">
        <v>315</v>
      </c>
    </row>
    <row r="25" spans="1:6" x14ac:dyDescent="0.2">
      <c r="A25" t="s">
        <v>316</v>
      </c>
    </row>
    <row r="26" spans="1:6" x14ac:dyDescent="0.2">
      <c r="A26" t="s">
        <v>317</v>
      </c>
    </row>
    <row r="27" spans="1:6" x14ac:dyDescent="0.2">
      <c r="A27" t="s">
        <v>318</v>
      </c>
    </row>
    <row r="28" spans="1:6" x14ac:dyDescent="0.2">
      <c r="A28" t="s">
        <v>319</v>
      </c>
    </row>
    <row r="29" spans="1:6" x14ac:dyDescent="0.2">
      <c r="A29" t="s">
        <v>320</v>
      </c>
    </row>
    <row r="30" spans="1:6" x14ac:dyDescent="0.2">
      <c r="A30" t="s">
        <v>321</v>
      </c>
    </row>
    <row r="31" spans="1:6" x14ac:dyDescent="0.2">
      <c r="A31" t="s">
        <v>322</v>
      </c>
    </row>
    <row r="32" spans="1:6" x14ac:dyDescent="0.2">
      <c r="A32" t="s">
        <v>323</v>
      </c>
    </row>
    <row r="33" spans="1:1" x14ac:dyDescent="0.2">
      <c r="A33" t="s">
        <v>324</v>
      </c>
    </row>
    <row r="34" spans="1:1" x14ac:dyDescent="0.2">
      <c r="A34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</vt:lpstr>
      <vt:lpstr>STM32 pinout</vt:lpstr>
      <vt:lpstr>Arduinos pinout</vt:lpstr>
      <vt:lpstr>STM32 Software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Wang</dc:creator>
  <cp:keywords/>
  <dc:description/>
  <cp:lastModifiedBy>WANG Tianran</cp:lastModifiedBy>
  <cp:revision/>
  <dcterms:created xsi:type="dcterms:W3CDTF">2026-02-16T11:43:56Z</dcterms:created>
  <dcterms:modified xsi:type="dcterms:W3CDTF">2026-05-06T07:24:17Z</dcterms:modified>
  <cp:category/>
  <cp:contentStatus/>
</cp:coreProperties>
</file>