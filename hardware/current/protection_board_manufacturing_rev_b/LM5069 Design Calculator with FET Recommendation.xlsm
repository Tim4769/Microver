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a1/Downloads/"/>
    </mc:Choice>
  </mc:AlternateContent>
  <xr:revisionPtr revIDLastSave="0" documentId="13_ncr:1_{6B6A37F8-D509-0C4B-945D-9D51502C5507}" xr6:coauthVersionLast="47" xr6:coauthVersionMax="47" xr10:uidLastSave="{00000000-0000-0000-0000-000000000000}"/>
  <workbookProtection workbookAlgorithmName="SHA-512" workbookHashValue="J6g0Dmb/cVoJRYUhXYOxFHGOXmiX9hSqvO/ES35yqa61MRMy7dsB51wW2aoFd2X3twgAbsLLzNQ2Q+TsNQ7wlQ==" workbookSaltValue="RYf5zgy7PPl+1bMZ0SuG8w==" workbookSpinCount="100000" lockStructure="1"/>
  <bookViews>
    <workbookView xWindow="25600" yWindow="600" windowWidth="25600" windowHeight="26560" tabRatio="742" activeTab="1" xr2:uid="{00000000-000D-0000-FFFF-FFFF00000000}"/>
  </bookViews>
  <sheets>
    <sheet name="Instructions" sheetId="16" r:id="rId1"/>
    <sheet name="Design Calculator" sheetId="1" r:id="rId2"/>
    <sheet name="Device Parameters" sheetId="6" state="hidden" r:id="rId3"/>
    <sheet name="Equations" sheetId="3" state="hidden" r:id="rId4"/>
    <sheet name="MOSFET Database 24V" sheetId="17" state="hidden" r:id="rId5"/>
    <sheet name="MOSFET Database 48V" sheetId="18" state="hidden" r:id="rId6"/>
    <sheet name="Start_up" sheetId="13" state="hidden" r:id="rId7"/>
    <sheet name="SOA" sheetId="7" state="hidden" r:id="rId8"/>
    <sheet name="dv_dt_recommendations" sheetId="14" state="hidden" r:id="rId9"/>
  </sheets>
  <externalReferences>
    <externalReference r:id="rId10"/>
    <externalReference r:id="rId11"/>
  </externalReferences>
  <definedNames>
    <definedName name="CLMAX">Equations!$F$26</definedName>
    <definedName name="CLMAX_Threshold">Equations!$E$17</definedName>
    <definedName name="CLMIN">Equations!$F$24</definedName>
    <definedName name="CLMIN_Threshold">Equations!$E$15</definedName>
    <definedName name="CLNOM">Equations!$F$25</definedName>
    <definedName name="CLNOM_Threshold">Equations!$E$16</definedName>
    <definedName name="COUTMAX">'Design Calculator'!$F$23</definedName>
    <definedName name="CTIMER">'Design Calculator'!#REF!</definedName>
    <definedName name="FETPDISS1">'Design Calculator'!$F$65</definedName>
    <definedName name="I_Cout_ss">Equations!$F$69</definedName>
    <definedName name="ILIM" localSheetId="7">[1]ILIM_SOA_considerations!$C$25</definedName>
    <definedName name="ILIM">[2]ILIM_SOA_considerations!$C$25</definedName>
    <definedName name="Ilim_min" localSheetId="7">[1]ILIM_SOA_considerations!$C$61</definedName>
    <definedName name="Ilim_min">[2]ILIM_SOA_considerations!$C$61</definedName>
    <definedName name="IOUTMAX">'Design Calculator'!$F$22</definedName>
    <definedName name="MaxFETPW">'Design Calculator'!#REF!</definedName>
    <definedName name="NUMFETS1">'Design Calculator'!$F$64</definedName>
    <definedName name="NUMFETS2">'Design Calculator'!$G$64</definedName>
    <definedName name="NUMFETS3">'Design Calculator'!$H$64</definedName>
    <definedName name="PLIM" localSheetId="7">[1]ILIM_SOA_considerations!$C$40</definedName>
    <definedName name="PLIM">[2]ILIM_SOA_considerations!$C$40</definedName>
    <definedName name="PLIMMAX">'Design Calculator'!#REF!</definedName>
    <definedName name="PLIMMIN">'Design Calculator'!#REF!</definedName>
    <definedName name="PLIMNOM">'Design Calculator'!#REF!</definedName>
    <definedName name="_xlnm.Print_Area" localSheetId="1">'Design Calculator'!$A$1:$M$199</definedName>
    <definedName name="RDIV1">'Design Calculator'!$F$38</definedName>
    <definedName name="RDIV2">'Design Calculator'!$F$39</definedName>
    <definedName name="RDSON">'Design Calculator'!$AP$56</definedName>
    <definedName name="RPWR">'Design Calculator'!$F$51</definedName>
    <definedName name="Rrflt" localSheetId="7">[1]ILIM_SOA_considerations!$C$46</definedName>
    <definedName name="Rrflt">[2]ILIM_SOA_considerations!$C$46</definedName>
    <definedName name="Rs">'Design Calculator'!$F$35</definedName>
    <definedName name="RsEFF">Equations!$F$23</definedName>
    <definedName name="Rsense" localSheetId="7">[1]ILIM_SOA_considerations!$C$30</definedName>
    <definedName name="Rsense">[2]ILIM_SOA_considerations!$C$30</definedName>
    <definedName name="RsMAX">'Design Calculator'!$F$33</definedName>
    <definedName name="SFET24_1">'MOSFET Database 24V'!$C$67</definedName>
    <definedName name="SFET24_2">'MOSFET Database 24V'!$G$67</definedName>
    <definedName name="SFET3">'MOSFET Database 24V'!$K$67</definedName>
    <definedName name="SFET48_1">'MOSFET Database 48V'!$C$67</definedName>
    <definedName name="SFET48_2">'MOSFET Database 48V'!$G$67</definedName>
    <definedName name="SOA_av" localSheetId="7">[1]ILIM_SOA_considerations!$C$52</definedName>
    <definedName name="SOA_av">[2]ILIM_SOA_considerations!$C$52</definedName>
    <definedName name="solver_adj" localSheetId="7" hidden="1">SOA!#REF!</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0</definedName>
    <definedName name="solver_nwt" localSheetId="7" hidden="1">1</definedName>
    <definedName name="solver_opt" localSheetId="7" hidden="1">SOA!#REF!</definedName>
    <definedName name="solver_pre" localSheetId="7" hidden="1">0.000001</definedName>
    <definedName name="solver_rbv" localSheetId="7" hidden="1">1</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definedName>
    <definedName name="solver_ver" localSheetId="7" hidden="1">3</definedName>
    <definedName name="ss_rate">Equations!$F$65</definedName>
    <definedName name="T_cap_charge" localSheetId="7">[1]ILIM_SOA_considerations!$C$45</definedName>
    <definedName name="T_cap_charge">[2]ILIM_SOA_considerations!$C$45</definedName>
    <definedName name="T_margin" localSheetId="7">[1]ILIM_SOA_considerations!$C$9</definedName>
    <definedName name="T_margin">[2]ILIM_SOA_considerations!$C$9</definedName>
    <definedName name="T_total" localSheetId="7">[1]ILIM_SOA_considerations!$C$47</definedName>
    <definedName name="T_total">[2]ILIM_SOA_considerations!$C$47</definedName>
    <definedName name="TAMB">'Design Calculator'!$F$24</definedName>
    <definedName name="Tfault">'Design Calculator'!$F$84</definedName>
    <definedName name="Tfaultmax">'Design Calculator'!#REF!</definedName>
    <definedName name="ThetaJA">'Design Calculator'!$F$26</definedName>
    <definedName name="TINSERT">'Design Calculator'!$F$99</definedName>
    <definedName name="TINSERTMAX">Equations!$F$112</definedName>
    <definedName name="TINSERTMIN">Equations!$F$110</definedName>
    <definedName name="TJ">'Design Calculator'!$H$64</definedName>
    <definedName name="TJDC1">'Design Calculator'!$F$66</definedName>
    <definedName name="TJDC2">'Design Calculator'!$G$66</definedName>
    <definedName name="TJDC3">'Design Calculator'!$H$66</definedName>
    <definedName name="TJMAX">'Design Calculator'!$AP$57</definedName>
    <definedName name="Tsd" localSheetId="7">[1]ILIM_SOA_considerations!$C$67</definedName>
    <definedName name="Tsd">[2]ILIM_SOA_considerations!$C$67</definedName>
    <definedName name="TSTARTMAX">Equations!$F$99</definedName>
    <definedName name="TSTARTMIN">Equations!$F$97</definedName>
    <definedName name="TSTARTNOM">Equations!$F$98</definedName>
    <definedName name="V_sns_cl_max" localSheetId="7">[1]ILIM_SOA_considerations!$C$15</definedName>
    <definedName name="V_sns_cl_max">[2]ILIM_SOA_considerations!$C$15</definedName>
    <definedName name="Vbus" localSheetId="7">[1]ILIM_SOA_considerations!$C$23</definedName>
    <definedName name="Vbus">[2]ILIM_SOA_considerations!$C$23</definedName>
    <definedName name="VINMAX">'Design Calculator'!$F$21</definedName>
    <definedName name="VINMIN">'Design Calculator'!$F$19</definedName>
    <definedName name="VINNOM">'Design Calculator'!$F$20</definedName>
    <definedName name="yesno">'Design Calculator'!$AT$13:$AT$13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43" i="17" l="1"/>
  <c r="BS42" i="17"/>
  <c r="BS41" i="17"/>
  <c r="BS40" i="17"/>
  <c r="BC42" i="17"/>
  <c r="BC43" i="17"/>
  <c r="BC41" i="17"/>
  <c r="BC40" i="17"/>
  <c r="BC39" i="17"/>
  <c r="F94" i="1"/>
  <c r="G67" i="18"/>
  <c r="G68" i="18" s="1"/>
  <c r="C67" i="18"/>
  <c r="C68" i="18" s="1"/>
  <c r="AM64" i="18"/>
  <c r="AI64" i="18"/>
  <c r="AE64" i="18"/>
  <c r="AA64" i="18"/>
  <c r="W64" i="18"/>
  <c r="S64" i="18"/>
  <c r="O64" i="18"/>
  <c r="K64" i="18"/>
  <c r="G64" i="18"/>
  <c r="C64" i="18"/>
  <c r="AM43" i="18"/>
  <c r="AI43" i="18"/>
  <c r="AE43" i="18"/>
  <c r="AA43" i="18"/>
  <c r="W43" i="18"/>
  <c r="S43" i="18"/>
  <c r="O43" i="18"/>
  <c r="K43" i="18"/>
  <c r="G43" i="18"/>
  <c r="C43" i="18"/>
  <c r="AM42" i="18"/>
  <c r="AI42" i="18"/>
  <c r="AE42" i="18"/>
  <c r="AA42" i="18"/>
  <c r="W42" i="18"/>
  <c r="S42" i="18"/>
  <c r="O42" i="18"/>
  <c r="K42" i="18"/>
  <c r="G42" i="18"/>
  <c r="C42" i="18"/>
  <c r="AM41" i="18"/>
  <c r="AI41" i="18"/>
  <c r="AE41" i="18"/>
  <c r="AA41" i="18"/>
  <c r="W41" i="18"/>
  <c r="S41" i="18"/>
  <c r="O41" i="18"/>
  <c r="K41" i="18"/>
  <c r="G41" i="18"/>
  <c r="C41" i="18"/>
  <c r="AM40" i="18"/>
  <c r="AI40" i="18"/>
  <c r="AE40" i="18"/>
  <c r="AA40" i="18"/>
  <c r="W40" i="18"/>
  <c r="S40" i="18"/>
  <c r="O40" i="18"/>
  <c r="K40" i="18"/>
  <c r="G40" i="18"/>
  <c r="C40" i="18"/>
  <c r="AE39" i="18"/>
  <c r="AA39" i="18"/>
  <c r="W39" i="18"/>
  <c r="S39" i="18"/>
  <c r="O39" i="18"/>
  <c r="K39" i="18"/>
  <c r="AM28" i="18"/>
  <c r="AM29" i="18" s="1"/>
  <c r="AI28" i="18"/>
  <c r="AI29" i="18" s="1"/>
  <c r="AE28" i="18"/>
  <c r="AE29" i="18" s="1"/>
  <c r="AA28" i="18"/>
  <c r="AA29" i="18" s="1"/>
  <c r="W28" i="18"/>
  <c r="W29" i="18" s="1"/>
  <c r="S28" i="18"/>
  <c r="S29" i="18" s="1"/>
  <c r="O28" i="18"/>
  <c r="O29" i="18" s="1"/>
  <c r="K28" i="18"/>
  <c r="K29" i="18" s="1"/>
  <c r="G28" i="18"/>
  <c r="G29" i="18" s="1"/>
  <c r="C28" i="18"/>
  <c r="C29" i="18" s="1"/>
  <c r="AM27" i="18"/>
  <c r="AI27" i="18"/>
  <c r="AE27" i="18"/>
  <c r="AA27" i="18"/>
  <c r="W27" i="18"/>
  <c r="S27" i="18"/>
  <c r="O27" i="18"/>
  <c r="K27" i="18"/>
  <c r="G27" i="18"/>
  <c r="C27" i="18"/>
  <c r="AM26" i="18"/>
  <c r="AI26" i="18"/>
  <c r="AE26" i="18"/>
  <c r="AA26" i="18"/>
  <c r="W26" i="18"/>
  <c r="S26" i="18"/>
  <c r="O26" i="18"/>
  <c r="K26" i="18"/>
  <c r="G26" i="18"/>
  <c r="C26" i="18"/>
  <c r="AM25" i="18"/>
  <c r="AI25" i="18"/>
  <c r="AE25" i="18"/>
  <c r="AA25" i="18"/>
  <c r="W25" i="18"/>
  <c r="S25" i="18"/>
  <c r="O25" i="18"/>
  <c r="K25" i="18"/>
  <c r="G25" i="18"/>
  <c r="C25" i="18"/>
  <c r="K31" i="18" l="1"/>
  <c r="K32" i="18" s="1"/>
  <c r="K33" i="18" s="1"/>
  <c r="K34" i="18" s="1"/>
  <c r="K58" i="18" s="1"/>
  <c r="AA31" i="18"/>
  <c r="AA32" i="18" s="1"/>
  <c r="AA33" i="18" s="1"/>
  <c r="AA34" i="18" s="1"/>
  <c r="AA58" i="18" s="1"/>
  <c r="O31" i="18"/>
  <c r="O32" i="18" s="1"/>
  <c r="O33" i="18" s="1"/>
  <c r="O34" i="18" s="1"/>
  <c r="O58" i="18" s="1"/>
  <c r="AE31" i="18"/>
  <c r="AE32" i="18" s="1"/>
  <c r="C31" i="18"/>
  <c r="C32" i="18" s="1"/>
  <c r="C33" i="18" s="1"/>
  <c r="C34" i="18" s="1"/>
  <c r="C58" i="18" s="1"/>
  <c r="S31" i="18"/>
  <c r="S32" i="18" s="1"/>
  <c r="S33" i="18" s="1"/>
  <c r="S34" i="18" s="1"/>
  <c r="S58" i="18" s="1"/>
  <c r="AI31" i="18"/>
  <c r="AI32" i="18" s="1"/>
  <c r="AI33" i="18" s="1"/>
  <c r="AI34" i="18" s="1"/>
  <c r="AI58" i="18" s="1"/>
  <c r="G31" i="18"/>
  <c r="G32" i="18" s="1"/>
  <c r="G33" i="18" s="1"/>
  <c r="G34" i="18" s="1"/>
  <c r="G58" i="18" s="1"/>
  <c r="W31" i="18"/>
  <c r="W32" i="18" s="1"/>
  <c r="W33" i="18" s="1"/>
  <c r="W34" i="18" s="1"/>
  <c r="W58" i="18" s="1"/>
  <c r="AM31" i="18"/>
  <c r="AM32" i="18" s="1"/>
  <c r="AM33" i="18" s="1"/>
  <c r="AM34" i="18" s="1"/>
  <c r="AM58" i="18" s="1"/>
  <c r="BW43" i="17"/>
  <c r="BW42" i="17"/>
  <c r="BW41" i="17"/>
  <c r="BW40" i="17"/>
  <c r="BW39" i="17"/>
  <c r="BO43" i="17"/>
  <c r="BO42" i="17"/>
  <c r="BO41" i="17"/>
  <c r="BO40" i="17"/>
  <c r="BO39" i="17"/>
  <c r="BK43" i="17"/>
  <c r="BK42" i="17"/>
  <c r="BK41" i="17"/>
  <c r="BK40" i="17"/>
  <c r="BK39" i="17"/>
  <c r="BG43" i="17"/>
  <c r="BG42" i="17"/>
  <c r="BG41" i="17"/>
  <c r="BG40" i="17"/>
  <c r="BG39" i="17"/>
  <c r="C74" i="18"/>
  <c r="C77" i="18"/>
  <c r="G76" i="18"/>
  <c r="C80" i="18"/>
  <c r="C82" i="18"/>
  <c r="G70" i="18"/>
  <c r="C70" i="18"/>
  <c r="G71" i="18"/>
  <c r="G78" i="18"/>
  <c r="C84" i="18"/>
  <c r="G79" i="18"/>
  <c r="G84" i="18"/>
  <c r="G82" i="18"/>
  <c r="G83" i="18"/>
  <c r="C79" i="18"/>
  <c r="C72" i="18"/>
  <c r="C83" i="18"/>
  <c r="G72" i="18"/>
  <c r="C71" i="18"/>
  <c r="G73" i="18"/>
  <c r="G77" i="18"/>
  <c r="G74" i="18"/>
  <c r="G80" i="18"/>
  <c r="C73" i="18"/>
  <c r="AE33" i="18" l="1"/>
  <c r="AY43" i="17"/>
  <c r="AY42" i="17"/>
  <c r="AY41" i="17"/>
  <c r="AY40" i="17"/>
  <c r="AY39" i="17"/>
  <c r="AU43" i="17"/>
  <c r="AU42" i="17"/>
  <c r="AU41" i="17"/>
  <c r="AU40" i="17"/>
  <c r="AU39" i="17"/>
  <c r="AQ43" i="17"/>
  <c r="AQ42" i="17"/>
  <c r="AQ41" i="17"/>
  <c r="AQ40" i="17"/>
  <c r="AM43" i="17"/>
  <c r="AM42" i="17"/>
  <c r="AM41" i="17"/>
  <c r="AM40" i="17"/>
  <c r="AM39" i="17"/>
  <c r="AI43" i="17"/>
  <c r="AI42" i="17"/>
  <c r="AI41" i="17"/>
  <c r="AI40" i="17"/>
  <c r="AE43" i="17"/>
  <c r="AE42" i="17"/>
  <c r="AE41" i="17"/>
  <c r="AE40" i="17"/>
  <c r="AA43" i="17"/>
  <c r="AA42" i="17"/>
  <c r="AA41" i="17"/>
  <c r="AA40" i="17"/>
  <c r="AA39" i="17"/>
  <c r="W43" i="17"/>
  <c r="W42" i="17"/>
  <c r="W41" i="17"/>
  <c r="W40" i="17"/>
  <c r="S43" i="17"/>
  <c r="S42" i="17"/>
  <c r="S41" i="17"/>
  <c r="S40" i="17"/>
  <c r="O43" i="17"/>
  <c r="O42" i="17"/>
  <c r="O41" i="17"/>
  <c r="O40" i="17"/>
  <c r="K43" i="17"/>
  <c r="K42" i="17"/>
  <c r="K41" i="17"/>
  <c r="K40" i="17"/>
  <c r="G43" i="17"/>
  <c r="G42" i="17"/>
  <c r="G41" i="17"/>
  <c r="G40" i="17"/>
  <c r="F137" i="1"/>
  <c r="F121" i="3"/>
  <c r="F120" i="3"/>
  <c r="F119" i="3"/>
  <c r="F118" i="3"/>
  <c r="F117" i="3"/>
  <c r="F116" i="3"/>
  <c r="E117" i="14"/>
  <c r="E116" i="14"/>
  <c r="K131" i="14" s="1"/>
  <c r="E115" i="14"/>
  <c r="J108" i="14"/>
  <c r="E119" i="14"/>
  <c r="E125" i="14" s="1"/>
  <c r="E111" i="14"/>
  <c r="E72" i="14"/>
  <c r="E71" i="14"/>
  <c r="K86" i="14" s="1"/>
  <c r="E70" i="14"/>
  <c r="E74" i="14"/>
  <c r="E80" i="14" s="1"/>
  <c r="E66" i="14"/>
  <c r="O201" i="3"/>
  <c r="O205" i="3"/>
  <c r="O210" i="3"/>
  <c r="O215" i="3"/>
  <c r="O220" i="3"/>
  <c r="C76" i="18"/>
  <c r="E122" i="14" l="1"/>
  <c r="E77" i="14"/>
  <c r="AE34" i="18"/>
  <c r="O86" i="14"/>
  <c r="O87" i="14" s="1"/>
  <c r="S131" i="14"/>
  <c r="S132" i="14" s="1"/>
  <c r="K132" i="14"/>
  <c r="K87" i="14"/>
  <c r="W86" i="14"/>
  <c r="W87" i="14" s="1"/>
  <c r="H131" i="14"/>
  <c r="H132" i="14" s="1"/>
  <c r="L131" i="14"/>
  <c r="L132" i="14" s="1"/>
  <c r="P131" i="14"/>
  <c r="P132" i="14" s="1"/>
  <c r="T131" i="14"/>
  <c r="T132" i="14" s="1"/>
  <c r="X131" i="14"/>
  <c r="X132" i="14" s="1"/>
  <c r="I131" i="14"/>
  <c r="I132" i="14" s="1"/>
  <c r="M131" i="14"/>
  <c r="M132" i="14" s="1"/>
  <c r="Q131" i="14"/>
  <c r="Q132" i="14" s="1"/>
  <c r="U131" i="14"/>
  <c r="U132" i="14" s="1"/>
  <c r="E131" i="14"/>
  <c r="E132" i="14" s="1"/>
  <c r="F131" i="14"/>
  <c r="F132" i="14" s="1"/>
  <c r="J131" i="14"/>
  <c r="J132" i="14" s="1"/>
  <c r="N131" i="14"/>
  <c r="N132" i="14" s="1"/>
  <c r="R131" i="14"/>
  <c r="R132" i="14" s="1"/>
  <c r="V131" i="14"/>
  <c r="V132" i="14" s="1"/>
  <c r="O131" i="14"/>
  <c r="O132" i="14" s="1"/>
  <c r="H86" i="14"/>
  <c r="H87" i="14" s="1"/>
  <c r="L86" i="14"/>
  <c r="L87" i="14" s="1"/>
  <c r="P86" i="14"/>
  <c r="P87" i="14" s="1"/>
  <c r="T86" i="14"/>
  <c r="T87" i="14" s="1"/>
  <c r="X86" i="14"/>
  <c r="X87" i="14" s="1"/>
  <c r="I86" i="14"/>
  <c r="I87" i="14" s="1"/>
  <c r="M86" i="14"/>
  <c r="M87" i="14" s="1"/>
  <c r="Q86" i="14"/>
  <c r="Q87" i="14" s="1"/>
  <c r="U86" i="14"/>
  <c r="U87" i="14" s="1"/>
  <c r="E86" i="14"/>
  <c r="E87" i="14" s="1"/>
  <c r="F86" i="14"/>
  <c r="F87" i="14" s="1"/>
  <c r="J86" i="14"/>
  <c r="J87" i="14" s="1"/>
  <c r="N86" i="14"/>
  <c r="N87" i="14" s="1"/>
  <c r="R86" i="14"/>
  <c r="R87" i="14" s="1"/>
  <c r="V86" i="14"/>
  <c r="V87" i="14" s="1"/>
  <c r="G86" i="14"/>
  <c r="G87" i="14" s="1"/>
  <c r="S86" i="14"/>
  <c r="S87" i="14" s="1"/>
  <c r="W131" i="14"/>
  <c r="W132" i="14" s="1"/>
  <c r="G131" i="14"/>
  <c r="G132" i="14" s="1"/>
  <c r="E149" i="14"/>
  <c r="E127" i="14"/>
  <c r="E126" i="14"/>
  <c r="E104" i="14"/>
  <c r="E82" i="14"/>
  <c r="E81" i="14"/>
  <c r="C78" i="18"/>
  <c r="AE58" i="18" l="1"/>
  <c r="E130" i="14"/>
  <c r="E129" i="14"/>
  <c r="E85" i="14"/>
  <c r="E84" i="14"/>
  <c r="E89" i="14" l="1"/>
  <c r="E134" i="14"/>
  <c r="H123" i="7" l="1"/>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248" i="13"/>
  <c r="R240" i="13"/>
  <c r="Q240" i="13"/>
  <c r="J240" i="13"/>
  <c r="H240" i="13"/>
  <c r="G240" i="13"/>
  <c r="F240" i="13"/>
  <c r="D240" i="13"/>
  <c r="Y141" i="13"/>
  <c r="Y134" i="13"/>
  <c r="Y137" i="13" s="1"/>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129" i="13"/>
  <c r="R121" i="13"/>
  <c r="Q121" i="13"/>
  <c r="J121" i="13"/>
  <c r="H121" i="13"/>
  <c r="G121" i="13"/>
  <c r="F121" i="13"/>
  <c r="F2" i="13"/>
  <c r="Y143" i="13" l="1"/>
  <c r="C274" i="13"/>
  <c r="C269" i="13"/>
  <c r="C253" i="13"/>
  <c r="C352" i="13"/>
  <c r="C344" i="13"/>
  <c r="C336" i="13"/>
  <c r="C328" i="13"/>
  <c r="C320" i="13"/>
  <c r="C316" i="13"/>
  <c r="C304" i="13"/>
  <c r="C300" i="13"/>
  <c r="C288" i="13"/>
  <c r="C280" i="13"/>
  <c r="C264" i="13"/>
  <c r="C348" i="13"/>
  <c r="C332" i="13"/>
  <c r="C312" i="13"/>
  <c r="C296" i="13"/>
  <c r="C284" i="13"/>
  <c r="C258" i="13"/>
  <c r="C276" i="13"/>
  <c r="C272" i="13"/>
  <c r="C268" i="13"/>
  <c r="C260" i="13"/>
  <c r="C256" i="13"/>
  <c r="C252" i="13"/>
  <c r="C349" i="13"/>
  <c r="C337" i="13"/>
  <c r="C329" i="13"/>
  <c r="C317" i="13"/>
  <c r="C309" i="13"/>
  <c r="C301" i="13"/>
  <c r="C293" i="13"/>
  <c r="C285" i="13"/>
  <c r="C277" i="13"/>
  <c r="C261" i="13"/>
  <c r="C324" i="13"/>
  <c r="C308" i="13"/>
  <c r="C292" i="13"/>
  <c r="C351" i="13"/>
  <c r="C347" i="13"/>
  <c r="C343" i="13"/>
  <c r="C339" i="13"/>
  <c r="C335" i="13"/>
  <c r="C331" i="13"/>
  <c r="C327" i="13"/>
  <c r="C323" i="13"/>
  <c r="C319" i="13"/>
  <c r="C315" i="13"/>
  <c r="C311" i="13"/>
  <c r="C307" i="13"/>
  <c r="C303" i="13"/>
  <c r="C299" i="13"/>
  <c r="C295" i="13"/>
  <c r="C291" i="13"/>
  <c r="C287" i="13"/>
  <c r="C283" i="13"/>
  <c r="C279" i="13"/>
  <c r="C275" i="13"/>
  <c r="C271" i="13"/>
  <c r="C267" i="13"/>
  <c r="C263" i="13"/>
  <c r="C259" i="13"/>
  <c r="C255" i="13"/>
  <c r="C251" i="13"/>
  <c r="C248" i="13"/>
  <c r="C345" i="13"/>
  <c r="C341" i="13"/>
  <c r="C333" i="13"/>
  <c r="C325" i="13"/>
  <c r="C321" i="13"/>
  <c r="C313" i="13"/>
  <c r="C305" i="13"/>
  <c r="C297" i="13"/>
  <c r="C289" i="13"/>
  <c r="C281" i="13"/>
  <c r="C273" i="13"/>
  <c r="C265" i="13"/>
  <c r="C257" i="13"/>
  <c r="C249" i="13"/>
  <c r="C340" i="13"/>
  <c r="C350" i="13"/>
  <c r="C346" i="13"/>
  <c r="C342" i="13"/>
  <c r="C338" i="13"/>
  <c r="C334" i="13"/>
  <c r="C330" i="13"/>
  <c r="C326" i="13"/>
  <c r="C322" i="13"/>
  <c r="C318" i="13"/>
  <c r="C314" i="13"/>
  <c r="C310" i="13"/>
  <c r="C306" i="13"/>
  <c r="C302" i="13"/>
  <c r="C298" i="13"/>
  <c r="C294" i="13"/>
  <c r="C290" i="13"/>
  <c r="C286" i="13"/>
  <c r="C282" i="13"/>
  <c r="C278" i="13"/>
  <c r="C270" i="13"/>
  <c r="C266" i="13"/>
  <c r="C262" i="13"/>
  <c r="C254" i="13"/>
  <c r="C250" i="13"/>
  <c r="D121" i="13"/>
  <c r="C157" i="13" s="1"/>
  <c r="A352" i="13"/>
  <c r="A351" i="13"/>
  <c r="A350" i="13"/>
  <c r="A349" i="13"/>
  <c r="A348" i="13"/>
  <c r="A347" i="13"/>
  <c r="A346" i="13"/>
  <c r="A345" i="13"/>
  <c r="A344" i="13"/>
  <c r="A343" i="13"/>
  <c r="A342" i="13"/>
  <c r="A341" i="13"/>
  <c r="A340" i="13"/>
  <c r="A339" i="13"/>
  <c r="A338" i="13"/>
  <c r="A337" i="13"/>
  <c r="A336" i="13"/>
  <c r="A335" i="13"/>
  <c r="A334" i="13"/>
  <c r="A333" i="13"/>
  <c r="A332" i="13"/>
  <c r="A331" i="13"/>
  <c r="A330" i="13"/>
  <c r="A329" i="13"/>
  <c r="A328" i="13"/>
  <c r="A327" i="13"/>
  <c r="A326" i="13"/>
  <c r="A325" i="13"/>
  <c r="A324" i="13"/>
  <c r="A323" i="13"/>
  <c r="A322" i="13"/>
  <c r="A321" i="13"/>
  <c r="A320" i="13"/>
  <c r="A319" i="13"/>
  <c r="A318" i="13"/>
  <c r="A317" i="13"/>
  <c r="A316" i="13"/>
  <c r="A315" i="13"/>
  <c r="A314" i="13"/>
  <c r="A313" i="13"/>
  <c r="A312" i="13"/>
  <c r="A311" i="13"/>
  <c r="A310" i="13"/>
  <c r="A309" i="13"/>
  <c r="A308" i="13"/>
  <c r="A307" i="13"/>
  <c r="A306" i="13"/>
  <c r="A305" i="13"/>
  <c r="A304" i="13"/>
  <c r="A303" i="13"/>
  <c r="A302" i="13"/>
  <c r="A301" i="13"/>
  <c r="A300" i="13"/>
  <c r="A299" i="13"/>
  <c r="A298" i="13"/>
  <c r="A297" i="13"/>
  <c r="A296" i="13"/>
  <c r="A295" i="13"/>
  <c r="A294" i="13"/>
  <c r="A293" i="13"/>
  <c r="A292" i="13"/>
  <c r="A291" i="13"/>
  <c r="A290" i="13"/>
  <c r="A289" i="13"/>
  <c r="A288" i="13"/>
  <c r="A287" i="13"/>
  <c r="A286" i="13"/>
  <c r="A285" i="13"/>
  <c r="A284" i="13"/>
  <c r="A283" i="13"/>
  <c r="A282" i="13"/>
  <c r="A281" i="13"/>
  <c r="A280" i="13"/>
  <c r="A279" i="13"/>
  <c r="A278" i="13"/>
  <c r="A277" i="13"/>
  <c r="A276" i="13"/>
  <c r="A275" i="13"/>
  <c r="A274" i="13"/>
  <c r="A273" i="13"/>
  <c r="A272" i="13"/>
  <c r="A271" i="13"/>
  <c r="A270" i="13"/>
  <c r="A269" i="13"/>
  <c r="A268" i="13"/>
  <c r="A267" i="13"/>
  <c r="A266" i="13"/>
  <c r="A265" i="13"/>
  <c r="A264" i="13"/>
  <c r="A263" i="13"/>
  <c r="A262" i="13"/>
  <c r="A261" i="13"/>
  <c r="A260" i="13"/>
  <c r="A259" i="13"/>
  <c r="A258" i="13"/>
  <c r="A257" i="13"/>
  <c r="A256" i="13"/>
  <c r="A255" i="13"/>
  <c r="A254" i="13"/>
  <c r="A253" i="13"/>
  <c r="A252" i="13"/>
  <c r="A251" i="13"/>
  <c r="A250" i="13"/>
  <c r="A249" i="13"/>
  <c r="A248" i="13"/>
  <c r="A233" i="13"/>
  <c r="A232" i="13"/>
  <c r="A231" i="13"/>
  <c r="A230" i="13"/>
  <c r="A229" i="13"/>
  <c r="A228" i="13"/>
  <c r="A227" i="13"/>
  <c r="A226" i="13"/>
  <c r="A225" i="13"/>
  <c r="A224" i="13"/>
  <c r="A223" i="13"/>
  <c r="A222" i="13"/>
  <c r="A221" i="13"/>
  <c r="A220" i="13"/>
  <c r="A219" i="13"/>
  <c r="A218" i="13"/>
  <c r="A217" i="13"/>
  <c r="A216" i="13"/>
  <c r="A215" i="13"/>
  <c r="A214" i="13"/>
  <c r="A213" i="13"/>
  <c r="A212" i="13"/>
  <c r="A211" i="13"/>
  <c r="A210" i="13"/>
  <c r="A209" i="13"/>
  <c r="A208" i="13"/>
  <c r="A207" i="13"/>
  <c r="A206" i="13"/>
  <c r="A205" i="13"/>
  <c r="A204" i="13"/>
  <c r="A203" i="13"/>
  <c r="A202" i="13"/>
  <c r="A201" i="13"/>
  <c r="A200" i="13"/>
  <c r="A199" i="13"/>
  <c r="A198" i="13"/>
  <c r="A197" i="13"/>
  <c r="A196" i="13"/>
  <c r="A195" i="13"/>
  <c r="A194" i="13"/>
  <c r="A193" i="13"/>
  <c r="A192" i="13"/>
  <c r="A191" i="13"/>
  <c r="A190" i="13"/>
  <c r="A189" i="13"/>
  <c r="A188" i="13"/>
  <c r="A187" i="13"/>
  <c r="A186" i="13"/>
  <c r="A185" i="13"/>
  <c r="A184" i="13"/>
  <c r="A183" i="13"/>
  <c r="A182" i="13"/>
  <c r="A181" i="13"/>
  <c r="A180" i="13"/>
  <c r="A179" i="13"/>
  <c r="A178" i="13"/>
  <c r="A177" i="13"/>
  <c r="A176" i="13"/>
  <c r="A175" i="13"/>
  <c r="A174" i="13"/>
  <c r="A173" i="13"/>
  <c r="A172" i="13"/>
  <c r="A171" i="13"/>
  <c r="A170" i="13"/>
  <c r="A169" i="13"/>
  <c r="A168" i="13"/>
  <c r="A167" i="13"/>
  <c r="A166" i="13"/>
  <c r="A165" i="13"/>
  <c r="A164" i="13"/>
  <c r="A163" i="13"/>
  <c r="A162" i="13"/>
  <c r="A161" i="13"/>
  <c r="A160" i="13"/>
  <c r="A159" i="13"/>
  <c r="A158" i="13"/>
  <c r="A157" i="13"/>
  <c r="A156" i="13"/>
  <c r="A155" i="13"/>
  <c r="A154" i="13"/>
  <c r="A153" i="13"/>
  <c r="A152" i="13"/>
  <c r="A151" i="13"/>
  <c r="A150" i="13"/>
  <c r="A149" i="13"/>
  <c r="A148" i="13"/>
  <c r="A147" i="13"/>
  <c r="A146" i="13"/>
  <c r="A145" i="13"/>
  <c r="A144" i="13"/>
  <c r="A143" i="13"/>
  <c r="A142" i="13"/>
  <c r="A141" i="13"/>
  <c r="A140" i="13"/>
  <c r="A139" i="13"/>
  <c r="A138" i="13"/>
  <c r="A137" i="13"/>
  <c r="A136" i="13"/>
  <c r="A135" i="13"/>
  <c r="A134" i="13"/>
  <c r="A133" i="13"/>
  <c r="A132" i="13"/>
  <c r="A131" i="13"/>
  <c r="A130" i="13"/>
  <c r="A129" i="13"/>
  <c r="H81" i="3"/>
  <c r="H82" i="3" s="1"/>
  <c r="G81" i="3"/>
  <c r="G82" i="3" s="1"/>
  <c r="H79" i="3"/>
  <c r="H80" i="3" s="1"/>
  <c r="G79" i="3"/>
  <c r="G80" i="3" s="1"/>
  <c r="H67" i="3"/>
  <c r="G67" i="3"/>
  <c r="H65" i="3"/>
  <c r="G65" i="3"/>
  <c r="C104" i="7"/>
  <c r="F103" i="7"/>
  <c r="E103" i="7"/>
  <c r="D103" i="7"/>
  <c r="C103" i="7"/>
  <c r="B103" i="7"/>
  <c r="H75" i="7"/>
  <c r="H108" i="7"/>
  <c r="C108" i="7"/>
  <c r="H60" i="3"/>
  <c r="G60" i="3"/>
  <c r="H57" i="3"/>
  <c r="G57" i="3"/>
  <c r="H38" i="3"/>
  <c r="H37" i="3"/>
  <c r="H36" i="3"/>
  <c r="H35" i="3"/>
  <c r="H34" i="3"/>
  <c r="H33" i="3"/>
  <c r="H60" i="7"/>
  <c r="C60" i="7"/>
  <c r="G61" i="3" l="1"/>
  <c r="G112" i="3"/>
  <c r="G110" i="3"/>
  <c r="G111" i="3"/>
  <c r="H61" i="3"/>
  <c r="H112" i="3"/>
  <c r="H110" i="3"/>
  <c r="H111" i="3"/>
  <c r="C219" i="13"/>
  <c r="C185" i="13"/>
  <c r="C155" i="13"/>
  <c r="C173" i="13"/>
  <c r="C171" i="13"/>
  <c r="C197" i="13"/>
  <c r="C187" i="13"/>
  <c r="C141" i="13"/>
  <c r="C221" i="13"/>
  <c r="C139" i="13"/>
  <c r="C203" i="13"/>
  <c r="C134" i="13"/>
  <c r="C142" i="13"/>
  <c r="C150" i="13"/>
  <c r="C158" i="13"/>
  <c r="C166" i="13"/>
  <c r="C174" i="13"/>
  <c r="C182" i="13"/>
  <c r="C190" i="13"/>
  <c r="C198" i="13"/>
  <c r="C206" i="13"/>
  <c r="C214" i="13"/>
  <c r="C222" i="13"/>
  <c r="C230" i="13"/>
  <c r="C136" i="13"/>
  <c r="C144" i="13"/>
  <c r="C152" i="13"/>
  <c r="C160" i="13"/>
  <c r="C168" i="13"/>
  <c r="C176" i="13"/>
  <c r="C184" i="13"/>
  <c r="C192" i="13"/>
  <c r="C200" i="13"/>
  <c r="C208" i="13"/>
  <c r="C216" i="13"/>
  <c r="C224" i="13"/>
  <c r="C232" i="13"/>
  <c r="C130" i="13"/>
  <c r="C138" i="13"/>
  <c r="C146" i="13"/>
  <c r="C154" i="13"/>
  <c r="C162" i="13"/>
  <c r="C170" i="13"/>
  <c r="C178" i="13"/>
  <c r="C186" i="13"/>
  <c r="C194" i="13"/>
  <c r="C202" i="13"/>
  <c r="C210" i="13"/>
  <c r="C218" i="13"/>
  <c r="C226" i="13"/>
  <c r="C129" i="13"/>
  <c r="C148" i="13"/>
  <c r="C180" i="13"/>
  <c r="C212" i="13"/>
  <c r="C188" i="13"/>
  <c r="C228" i="13"/>
  <c r="C172" i="13"/>
  <c r="C156" i="13"/>
  <c r="C220" i="13"/>
  <c r="C140" i="13"/>
  <c r="C132" i="13"/>
  <c r="C164" i="13"/>
  <c r="C196" i="13"/>
  <c r="C204" i="13"/>
  <c r="C143" i="13"/>
  <c r="C159" i="13"/>
  <c r="C175" i="13"/>
  <c r="C191" i="13"/>
  <c r="C207" i="13"/>
  <c r="C223" i="13"/>
  <c r="C193" i="13"/>
  <c r="C145" i="13"/>
  <c r="C161" i="13"/>
  <c r="C177" i="13"/>
  <c r="C205" i="13"/>
  <c r="C225" i="13"/>
  <c r="C131" i="13"/>
  <c r="C147" i="13"/>
  <c r="C163" i="13"/>
  <c r="C179" i="13"/>
  <c r="C195" i="13"/>
  <c r="C211" i="13"/>
  <c r="C227" i="13"/>
  <c r="C201" i="13"/>
  <c r="C133" i="13"/>
  <c r="C149" i="13"/>
  <c r="C165" i="13"/>
  <c r="C181" i="13"/>
  <c r="C213" i="13"/>
  <c r="C229" i="13"/>
  <c r="C135" i="13"/>
  <c r="C151" i="13"/>
  <c r="C167" i="13"/>
  <c r="C183" i="13"/>
  <c r="C199" i="13"/>
  <c r="C215" i="13"/>
  <c r="C231" i="13"/>
  <c r="C209" i="13"/>
  <c r="C137" i="13"/>
  <c r="C153" i="13"/>
  <c r="C169" i="13"/>
  <c r="C189" i="13"/>
  <c r="C217" i="13"/>
  <c r="C233" i="13"/>
  <c r="G66" i="3"/>
  <c r="G68" i="3" s="1"/>
  <c r="H66" i="3"/>
  <c r="H68" i="3" s="1"/>
  <c r="G70" i="3" l="1"/>
  <c r="E68" i="14" s="1"/>
  <c r="G69" i="3"/>
  <c r="H70" i="3"/>
  <c r="E113" i="14" s="1"/>
  <c r="H69" i="3"/>
  <c r="F251" i="13" l="1"/>
  <c r="F255" i="13"/>
  <c r="F259" i="13"/>
  <c r="F263" i="13"/>
  <c r="F252" i="13"/>
  <c r="F256" i="13"/>
  <c r="F260" i="13"/>
  <c r="F250" i="13"/>
  <c r="F258" i="13"/>
  <c r="F265" i="13"/>
  <c r="F269" i="13"/>
  <c r="F273" i="13"/>
  <c r="F277" i="13"/>
  <c r="F281" i="13"/>
  <c r="F285" i="13"/>
  <c r="F289" i="13"/>
  <c r="F293" i="13"/>
  <c r="F297" i="13"/>
  <c r="F301" i="13"/>
  <c r="F305" i="13"/>
  <c r="F309" i="13"/>
  <c r="F313" i="13"/>
  <c r="F317" i="13"/>
  <c r="F321" i="13"/>
  <c r="F325" i="13"/>
  <c r="F329" i="13"/>
  <c r="F333" i="13"/>
  <c r="F337" i="13"/>
  <c r="F341" i="13"/>
  <c r="F345" i="13"/>
  <c r="F349" i="13"/>
  <c r="F248" i="13"/>
  <c r="F253" i="13"/>
  <c r="F261" i="13"/>
  <c r="F266" i="13"/>
  <c r="F270" i="13"/>
  <c r="F274" i="13"/>
  <c r="F278" i="13"/>
  <c r="F282" i="13"/>
  <c r="F286" i="13"/>
  <c r="F290" i="13"/>
  <c r="F294" i="13"/>
  <c r="F298" i="13"/>
  <c r="F302" i="13"/>
  <c r="F306" i="13"/>
  <c r="F310" i="13"/>
  <c r="F314" i="13"/>
  <c r="F318" i="13"/>
  <c r="F322" i="13"/>
  <c r="F326" i="13"/>
  <c r="F330" i="13"/>
  <c r="F334" i="13"/>
  <c r="F338" i="13"/>
  <c r="F342" i="13"/>
  <c r="F346" i="13"/>
  <c r="F350" i="13"/>
  <c r="F249" i="13"/>
  <c r="F264" i="13"/>
  <c r="F272" i="13"/>
  <c r="F280" i="13"/>
  <c r="F288" i="13"/>
  <c r="F296" i="13"/>
  <c r="F304" i="13"/>
  <c r="F312" i="13"/>
  <c r="F320" i="13"/>
  <c r="F328" i="13"/>
  <c r="F336" i="13"/>
  <c r="F344" i="13"/>
  <c r="F352" i="13"/>
  <c r="F254" i="13"/>
  <c r="F267" i="13"/>
  <c r="F275" i="13"/>
  <c r="F283" i="13"/>
  <c r="F291" i="13"/>
  <c r="F299" i="13"/>
  <c r="F307" i="13"/>
  <c r="F315" i="13"/>
  <c r="F323" i="13"/>
  <c r="F331" i="13"/>
  <c r="F339" i="13"/>
  <c r="F347" i="13"/>
  <c r="F257" i="13"/>
  <c r="F268" i="13"/>
  <c r="F276" i="13"/>
  <c r="F284" i="13"/>
  <c r="F292" i="13"/>
  <c r="F300" i="13"/>
  <c r="F308" i="13"/>
  <c r="F316" i="13"/>
  <c r="F324" i="13"/>
  <c r="F332" i="13"/>
  <c r="F340" i="13"/>
  <c r="F348" i="13"/>
  <c r="F271" i="13"/>
  <c r="F303" i="13"/>
  <c r="F335" i="13"/>
  <c r="F279" i="13"/>
  <c r="F311" i="13"/>
  <c r="F343" i="13"/>
  <c r="F287" i="13"/>
  <c r="F319" i="13"/>
  <c r="F351" i="13"/>
  <c r="F262" i="13"/>
  <c r="F295" i="13"/>
  <c r="F327" i="13"/>
  <c r="Q253" i="13"/>
  <c r="Q266" i="13"/>
  <c r="P280" i="13"/>
  <c r="P300" i="13"/>
  <c r="P316" i="13"/>
  <c r="P332" i="13"/>
  <c r="P348" i="13"/>
  <c r="P248" i="13"/>
  <c r="P261" i="13"/>
  <c r="P273" i="13"/>
  <c r="P281" i="13"/>
  <c r="P289" i="13"/>
  <c r="P297" i="13"/>
  <c r="P305" i="13"/>
  <c r="P313" i="13"/>
  <c r="P321" i="13"/>
  <c r="P329" i="13"/>
  <c r="P337" i="13"/>
  <c r="P345" i="13"/>
  <c r="Q249" i="13"/>
  <c r="Q254" i="13"/>
  <c r="Q262" i="13"/>
  <c r="Q267" i="13"/>
  <c r="Q274" i="13"/>
  <c r="Q282" i="13"/>
  <c r="Q290" i="13"/>
  <c r="Q298" i="13"/>
  <c r="Q306" i="13"/>
  <c r="Q314" i="13"/>
  <c r="Q322" i="13"/>
  <c r="Q330" i="13"/>
  <c r="Q338" i="13"/>
  <c r="Q346" i="13"/>
  <c r="P352" i="13"/>
  <c r="Q250" i="13"/>
  <c r="Q263" i="13"/>
  <c r="P276" i="13"/>
  <c r="P288" i="13"/>
  <c r="P304" i="13"/>
  <c r="P320" i="13"/>
  <c r="P336" i="13"/>
  <c r="Q351" i="13"/>
  <c r="P255" i="13"/>
  <c r="Q268" i="13"/>
  <c r="P275" i="13"/>
  <c r="P283" i="13"/>
  <c r="P291" i="13"/>
  <c r="P299" i="13"/>
  <c r="P307" i="13"/>
  <c r="P315" i="13"/>
  <c r="P323" i="13"/>
  <c r="P331" i="13"/>
  <c r="P339" i="13"/>
  <c r="P347" i="13"/>
  <c r="P253" i="13"/>
  <c r="P266" i="13"/>
  <c r="Q280" i="13"/>
  <c r="Q300" i="13"/>
  <c r="Q316" i="13"/>
  <c r="Q332" i="13"/>
  <c r="Q348" i="13"/>
  <c r="Q257" i="13"/>
  <c r="P264" i="13"/>
  <c r="Q277" i="13"/>
  <c r="Q285" i="13"/>
  <c r="Q293" i="13"/>
  <c r="Q301" i="13"/>
  <c r="Q309" i="13"/>
  <c r="Q317" i="13"/>
  <c r="Q325" i="13"/>
  <c r="Q333" i="13"/>
  <c r="Q341" i="13"/>
  <c r="Q349" i="13"/>
  <c r="P249" i="13"/>
  <c r="P254" i="13"/>
  <c r="P262" i="13"/>
  <c r="P267" i="13"/>
  <c r="P274" i="13"/>
  <c r="P282" i="13"/>
  <c r="P290" i="13"/>
  <c r="P298" i="13"/>
  <c r="P306" i="13"/>
  <c r="P314" i="13"/>
  <c r="P322" i="13"/>
  <c r="P330" i="13"/>
  <c r="P338" i="13"/>
  <c r="P346" i="13"/>
  <c r="Q352" i="13"/>
  <c r="P250" i="13"/>
  <c r="P263" i="13"/>
  <c r="Q276" i="13"/>
  <c r="Q288" i="13"/>
  <c r="Q304" i="13"/>
  <c r="Q320" i="13"/>
  <c r="Q336" i="13"/>
  <c r="P351" i="13"/>
  <c r="P252" i="13"/>
  <c r="Q259" i="13"/>
  <c r="Q271" i="13"/>
  <c r="Q279" i="13"/>
  <c r="Q287" i="13"/>
  <c r="Q295" i="13"/>
  <c r="Q303" i="13"/>
  <c r="Q311" i="13"/>
  <c r="Q319" i="13"/>
  <c r="Q327" i="13"/>
  <c r="Q335" i="13"/>
  <c r="Q343" i="13"/>
  <c r="P295" i="13"/>
  <c r="P343" i="13"/>
  <c r="Q272" i="13"/>
  <c r="Q308" i="13"/>
  <c r="Q340" i="13"/>
  <c r="Q261" i="13"/>
  <c r="Q281" i="13"/>
  <c r="Q297" i="13"/>
  <c r="Q313" i="13"/>
  <c r="Q329" i="13"/>
  <c r="Q345" i="13"/>
  <c r="P251" i="13"/>
  <c r="P258" i="13"/>
  <c r="P270" i="13"/>
  <c r="P286" i="13"/>
  <c r="P302" i="13"/>
  <c r="P318" i="13"/>
  <c r="P334" i="13"/>
  <c r="P350" i="13"/>
  <c r="Q256" i="13"/>
  <c r="Q284" i="13"/>
  <c r="Q312" i="13"/>
  <c r="Q344" i="13"/>
  <c r="P268" i="13"/>
  <c r="Q283" i="13"/>
  <c r="Q299" i="13"/>
  <c r="Q315" i="13"/>
  <c r="Q331" i="13"/>
  <c r="Q347" i="13"/>
  <c r="P260" i="13"/>
  <c r="P272" i="13"/>
  <c r="P292" i="13"/>
  <c r="P308" i="13"/>
  <c r="P324" i="13"/>
  <c r="P340" i="13"/>
  <c r="P257" i="13"/>
  <c r="Q264" i="13"/>
  <c r="P277" i="13"/>
  <c r="P285" i="13"/>
  <c r="P293" i="13"/>
  <c r="P301" i="13"/>
  <c r="P309" i="13"/>
  <c r="P317" i="13"/>
  <c r="P325" i="13"/>
  <c r="P333" i="13"/>
  <c r="P341" i="13"/>
  <c r="P349" i="13"/>
  <c r="Q251" i="13"/>
  <c r="Q258" i="13"/>
  <c r="Q265" i="13"/>
  <c r="Q270" i="13"/>
  <c r="Q278" i="13"/>
  <c r="Q286" i="13"/>
  <c r="Q294" i="13"/>
  <c r="Q302" i="13"/>
  <c r="Q310" i="13"/>
  <c r="Q318" i="13"/>
  <c r="Q326" i="13"/>
  <c r="Q334" i="13"/>
  <c r="Q342" i="13"/>
  <c r="Q350" i="13"/>
  <c r="P256" i="13"/>
  <c r="Q269" i="13"/>
  <c r="P284" i="13"/>
  <c r="P296" i="13"/>
  <c r="P312" i="13"/>
  <c r="P328" i="13"/>
  <c r="P344" i="13"/>
  <c r="Q252" i="13"/>
  <c r="P259" i="13"/>
  <c r="P271" i="13"/>
  <c r="P279" i="13"/>
  <c r="P287" i="13"/>
  <c r="P303" i="13"/>
  <c r="P311" i="13"/>
  <c r="P319" i="13"/>
  <c r="P327" i="13"/>
  <c r="P335" i="13"/>
  <c r="Q260" i="13"/>
  <c r="Q292" i="13"/>
  <c r="Q324" i="13"/>
  <c r="Q248" i="13"/>
  <c r="Q273" i="13"/>
  <c r="Q289" i="13"/>
  <c r="Q305" i="13"/>
  <c r="Q321" i="13"/>
  <c r="Q337" i="13"/>
  <c r="P265" i="13"/>
  <c r="P278" i="13"/>
  <c r="P294" i="13"/>
  <c r="P310" i="13"/>
  <c r="P326" i="13"/>
  <c r="P342" i="13"/>
  <c r="P269" i="13"/>
  <c r="Q296" i="13"/>
  <c r="Q328" i="13"/>
  <c r="Q255" i="13"/>
  <c r="Q275" i="13"/>
  <c r="Q291" i="13"/>
  <c r="Q307" i="13"/>
  <c r="Q323" i="13"/>
  <c r="Q339" i="13"/>
  <c r="F133" i="13"/>
  <c r="F137" i="13"/>
  <c r="F141" i="13"/>
  <c r="F145" i="13"/>
  <c r="F149" i="13"/>
  <c r="F153" i="13"/>
  <c r="F157" i="13"/>
  <c r="F161" i="13"/>
  <c r="F165" i="13"/>
  <c r="F169" i="13"/>
  <c r="F173" i="13"/>
  <c r="F177" i="13"/>
  <c r="F181" i="13"/>
  <c r="F185" i="13"/>
  <c r="F189" i="13"/>
  <c r="F193" i="13"/>
  <c r="F197" i="13"/>
  <c r="F201" i="13"/>
  <c r="F205" i="13"/>
  <c r="F209" i="13"/>
  <c r="F213" i="13"/>
  <c r="F217" i="13"/>
  <c r="F221" i="13"/>
  <c r="F225" i="13"/>
  <c r="F229" i="13"/>
  <c r="F233" i="13"/>
  <c r="F131" i="13"/>
  <c r="F135" i="13"/>
  <c r="F139" i="13"/>
  <c r="F143" i="13"/>
  <c r="F147" i="13"/>
  <c r="F151" i="13"/>
  <c r="F155" i="13"/>
  <c r="F159" i="13"/>
  <c r="F163" i="13"/>
  <c r="F167" i="13"/>
  <c r="F171" i="13"/>
  <c r="F175" i="13"/>
  <c r="F179" i="13"/>
  <c r="F183" i="13"/>
  <c r="F187" i="13"/>
  <c r="F191" i="13"/>
  <c r="F195" i="13"/>
  <c r="F199" i="13"/>
  <c r="F203" i="13"/>
  <c r="F207" i="13"/>
  <c r="F211" i="13"/>
  <c r="F215" i="13"/>
  <c r="F219" i="13"/>
  <c r="F223" i="13"/>
  <c r="F227" i="13"/>
  <c r="F231" i="13"/>
  <c r="F136" i="13"/>
  <c r="F144" i="13"/>
  <c r="F152" i="13"/>
  <c r="F160" i="13"/>
  <c r="F168" i="13"/>
  <c r="F176" i="13"/>
  <c r="F184" i="13"/>
  <c r="F192" i="13"/>
  <c r="F200" i="13"/>
  <c r="F208" i="13"/>
  <c r="F216" i="13"/>
  <c r="F224" i="13"/>
  <c r="F232" i="13"/>
  <c r="F130" i="13"/>
  <c r="F138" i="13"/>
  <c r="F146" i="13"/>
  <c r="F154" i="13"/>
  <c r="F162" i="13"/>
  <c r="F170" i="13"/>
  <c r="F178" i="13"/>
  <c r="F186" i="13"/>
  <c r="F194" i="13"/>
  <c r="F202" i="13"/>
  <c r="F210" i="13"/>
  <c r="F218" i="13"/>
  <c r="F226" i="13"/>
  <c r="F129" i="13"/>
  <c r="F132" i="13"/>
  <c r="F140" i="13"/>
  <c r="F148" i="13"/>
  <c r="F156" i="13"/>
  <c r="F164" i="13"/>
  <c r="F172" i="13"/>
  <c r="F180" i="13"/>
  <c r="F188" i="13"/>
  <c r="F196" i="13"/>
  <c r="F204" i="13"/>
  <c r="F212" i="13"/>
  <c r="F220" i="13"/>
  <c r="F228" i="13"/>
  <c r="F134" i="13"/>
  <c r="F142" i="13"/>
  <c r="F150" i="13"/>
  <c r="F158" i="13"/>
  <c r="F166" i="13"/>
  <c r="F174" i="13"/>
  <c r="F182" i="13"/>
  <c r="F190" i="13"/>
  <c r="F198" i="13"/>
  <c r="F206" i="13"/>
  <c r="F214" i="13"/>
  <c r="F222" i="13"/>
  <c r="F230" i="13"/>
  <c r="P132" i="13"/>
  <c r="P148" i="13"/>
  <c r="Q163" i="13"/>
  <c r="Q179" i="13"/>
  <c r="Q195" i="13"/>
  <c r="Q211" i="13"/>
  <c r="P129" i="13"/>
  <c r="P139" i="13"/>
  <c r="P145" i="13"/>
  <c r="Q156" i="13"/>
  <c r="Q164" i="13"/>
  <c r="Q172" i="13"/>
  <c r="Q180" i="13"/>
  <c r="Q188" i="13"/>
  <c r="Q196" i="13"/>
  <c r="Q204" i="13"/>
  <c r="P212" i="13"/>
  <c r="P220" i="13"/>
  <c r="P228" i="13"/>
  <c r="Q221" i="13"/>
  <c r="Q229" i="13"/>
  <c r="Q135" i="13"/>
  <c r="Q151" i="13"/>
  <c r="Q167" i="13"/>
  <c r="Q183" i="13"/>
  <c r="Q199" i="13"/>
  <c r="Q215" i="13"/>
  <c r="Q227" i="13"/>
  <c r="P130" i="13"/>
  <c r="P143" i="13"/>
  <c r="P149" i="13"/>
  <c r="P157" i="13"/>
  <c r="P165" i="13"/>
  <c r="P173" i="13"/>
  <c r="P181" i="13"/>
  <c r="P189" i="13"/>
  <c r="P197" i="13"/>
  <c r="P205" i="13"/>
  <c r="P213" i="13"/>
  <c r="P131" i="13"/>
  <c r="P137" i="13"/>
  <c r="Q144" i="13"/>
  <c r="P150" i="13"/>
  <c r="P158" i="13"/>
  <c r="P166" i="13"/>
  <c r="P174" i="13"/>
  <c r="P182" i="13"/>
  <c r="P190" i="13"/>
  <c r="P198" i="13"/>
  <c r="P206" i="13"/>
  <c r="Q214" i="13"/>
  <c r="P222" i="13"/>
  <c r="P230" i="13"/>
  <c r="Q132" i="13"/>
  <c r="Q148" i="13"/>
  <c r="P163" i="13"/>
  <c r="P179" i="13"/>
  <c r="P195" i="13"/>
  <c r="P211" i="13"/>
  <c r="P136" i="13"/>
  <c r="Q142" i="13"/>
  <c r="P152" i="13"/>
  <c r="P160" i="13"/>
  <c r="P168" i="13"/>
  <c r="P176" i="13"/>
  <c r="P184" i="13"/>
  <c r="P192" i="13"/>
  <c r="P200" i="13"/>
  <c r="P208" i="13"/>
  <c r="Q216" i="13"/>
  <c r="Q224" i="13"/>
  <c r="Q233" i="13"/>
  <c r="P221" i="13"/>
  <c r="P229" i="13"/>
  <c r="P135" i="13"/>
  <c r="P151" i="13"/>
  <c r="P167" i="13"/>
  <c r="P183" i="13"/>
  <c r="P199" i="13"/>
  <c r="P215" i="13"/>
  <c r="P227" i="13"/>
  <c r="Q133" i="13"/>
  <c r="Q146" i="13"/>
  <c r="Q153" i="13"/>
  <c r="Q161" i="13"/>
  <c r="Q169" i="13"/>
  <c r="Q177" i="13"/>
  <c r="Q185" i="13"/>
  <c r="Q193" i="13"/>
  <c r="Q201" i="13"/>
  <c r="Q209" i="13"/>
  <c r="Q217" i="13"/>
  <c r="Q134" i="13"/>
  <c r="P140" i="13"/>
  <c r="Q147" i="13"/>
  <c r="Q154" i="13"/>
  <c r="Q162" i="13"/>
  <c r="Q170" i="13"/>
  <c r="Q178" i="13"/>
  <c r="Q186" i="13"/>
  <c r="Q194" i="13"/>
  <c r="Q202" i="13"/>
  <c r="Q210" i="13"/>
  <c r="Q218" i="13"/>
  <c r="Q226" i="13"/>
  <c r="P138" i="13"/>
  <c r="P171" i="13"/>
  <c r="P219" i="13"/>
  <c r="Q139" i="13"/>
  <c r="P156" i="13"/>
  <c r="P172" i="13"/>
  <c r="P188" i="13"/>
  <c r="Q212" i="13"/>
  <c r="Q228" i="13"/>
  <c r="P225" i="13"/>
  <c r="P159" i="13"/>
  <c r="P191" i="13"/>
  <c r="P223" i="13"/>
  <c r="Q143" i="13"/>
  <c r="Q157" i="13"/>
  <c r="Q173" i="13"/>
  <c r="Q189" i="13"/>
  <c r="Q205" i="13"/>
  <c r="Q131" i="13"/>
  <c r="P144" i="13"/>
  <c r="Q158" i="13"/>
  <c r="Q174" i="13"/>
  <c r="Q198" i="13"/>
  <c r="P214" i="13"/>
  <c r="Q230" i="13"/>
  <c r="Q138" i="13"/>
  <c r="Q155" i="13"/>
  <c r="Q171" i="13"/>
  <c r="Q187" i="13"/>
  <c r="Q203" i="13"/>
  <c r="Q219" i="13"/>
  <c r="Q136" i="13"/>
  <c r="P142" i="13"/>
  <c r="Q152" i="13"/>
  <c r="Q160" i="13"/>
  <c r="Q168" i="13"/>
  <c r="Q176" i="13"/>
  <c r="Q184" i="13"/>
  <c r="Q192" i="13"/>
  <c r="Q200" i="13"/>
  <c r="Q208" i="13"/>
  <c r="P216" i="13"/>
  <c r="P224" i="13"/>
  <c r="P233" i="13"/>
  <c r="Q225" i="13"/>
  <c r="Q232" i="13"/>
  <c r="Q141" i="13"/>
  <c r="Q159" i="13"/>
  <c r="Q175" i="13"/>
  <c r="Q191" i="13"/>
  <c r="Q207" i="13"/>
  <c r="Q223" i="13"/>
  <c r="Q231" i="13"/>
  <c r="P133" i="13"/>
  <c r="P146" i="13"/>
  <c r="P153" i="13"/>
  <c r="P161" i="13"/>
  <c r="P169" i="13"/>
  <c r="P177" i="13"/>
  <c r="P185" i="13"/>
  <c r="P193" i="13"/>
  <c r="P201" i="13"/>
  <c r="P209" i="13"/>
  <c r="P217" i="13"/>
  <c r="P134" i="13"/>
  <c r="Q140" i="13"/>
  <c r="P147" i="13"/>
  <c r="P154" i="13"/>
  <c r="P162" i="13"/>
  <c r="P170" i="13"/>
  <c r="P178" i="13"/>
  <c r="P186" i="13"/>
  <c r="P194" i="13"/>
  <c r="P202" i="13"/>
  <c r="P210" i="13"/>
  <c r="P218" i="13"/>
  <c r="P226" i="13"/>
  <c r="P155" i="13"/>
  <c r="P187" i="13"/>
  <c r="P203" i="13"/>
  <c r="Q129" i="13"/>
  <c r="Q145" i="13"/>
  <c r="P164" i="13"/>
  <c r="P180" i="13"/>
  <c r="P196" i="13"/>
  <c r="P204" i="13"/>
  <c r="Q220" i="13"/>
  <c r="P232" i="13"/>
  <c r="P141" i="13"/>
  <c r="P175" i="13"/>
  <c r="P207" i="13"/>
  <c r="P231" i="13"/>
  <c r="Q130" i="13"/>
  <c r="Q149" i="13"/>
  <c r="Q165" i="13"/>
  <c r="Q181" i="13"/>
  <c r="Q197" i="13"/>
  <c r="Q213" i="13"/>
  <c r="Q137" i="13"/>
  <c r="Q150" i="13"/>
  <c r="Q166" i="13"/>
  <c r="Q182" i="13"/>
  <c r="Q190" i="13"/>
  <c r="Q206" i="13"/>
  <c r="Q222" i="13"/>
  <c r="D133" i="7"/>
  <c r="E133" i="7"/>
  <c r="F133" i="7"/>
  <c r="C133" i="7"/>
  <c r="F132" i="7" l="1"/>
  <c r="M114" i="14" s="1"/>
  <c r="M115" i="14"/>
  <c r="E132" i="7"/>
  <c r="L114" i="14" s="1"/>
  <c r="L115" i="14"/>
  <c r="D132" i="7"/>
  <c r="K114" i="14" s="1"/>
  <c r="K115" i="14"/>
  <c r="C132" i="7"/>
  <c r="J114" i="14" s="1"/>
  <c r="J115" i="14"/>
  <c r="Q125" i="13"/>
  <c r="Q243" i="13"/>
  <c r="Q124" i="13"/>
  <c r="Q244" i="13"/>
  <c r="G67" i="17" l="1"/>
  <c r="C67" i="17"/>
  <c r="AX62" i="1"/>
  <c r="AX63" i="1"/>
  <c r="AX60" i="1"/>
  <c r="AX61" i="1"/>
  <c r="AX59" i="1"/>
  <c r="AX57" i="1"/>
  <c r="AX56" i="1"/>
  <c r="AX58" i="1"/>
  <c r="AX55" i="1"/>
  <c r="AX54" i="1"/>
  <c r="BF70" i="1"/>
  <c r="BF71" i="1"/>
  <c r="BF65" i="1"/>
  <c r="BF62" i="1"/>
  <c r="BF64" i="1"/>
  <c r="BF61" i="1"/>
  <c r="BF69" i="1"/>
  <c r="BF68" i="1"/>
  <c r="BF58" i="1"/>
  <c r="BF66" i="1"/>
  <c r="BF59" i="1"/>
  <c r="BF63" i="1"/>
  <c r="BF67" i="1"/>
  <c r="BF57" i="1"/>
  <c r="BF56" i="1"/>
  <c r="BF60" i="1"/>
  <c r="AV62" i="1"/>
  <c r="AV63" i="1"/>
  <c r="AV60" i="1"/>
  <c r="AV61" i="1"/>
  <c r="AV59" i="1"/>
  <c r="AV57" i="1"/>
  <c r="AV56" i="1"/>
  <c r="AV58" i="1"/>
  <c r="AV55" i="1"/>
  <c r="AV54" i="1"/>
  <c r="BD70" i="1"/>
  <c r="BD71" i="1"/>
  <c r="BD65" i="1"/>
  <c r="BD62" i="1"/>
  <c r="BD64" i="1"/>
  <c r="BD61" i="1"/>
  <c r="BD69" i="1"/>
  <c r="BD68" i="1"/>
  <c r="BD58" i="1"/>
  <c r="BD66" i="1"/>
  <c r="BD59" i="1"/>
  <c r="BD63" i="1"/>
  <c r="BD67" i="1"/>
  <c r="BD57" i="1"/>
  <c r="BD56" i="1"/>
  <c r="BD60" i="1"/>
  <c r="BF54" i="1"/>
  <c r="BD54" i="1"/>
  <c r="BF55" i="1"/>
  <c r="BD55" i="1"/>
  <c r="K68" i="17" l="1"/>
  <c r="B4" i="17"/>
  <c r="C68" i="17" s="1"/>
  <c r="K82" i="17"/>
  <c r="G68" i="17" l="1"/>
  <c r="K67" i="17"/>
  <c r="C64" i="17"/>
  <c r="C43" i="17"/>
  <c r="C42" i="17"/>
  <c r="C41" i="17"/>
  <c r="C40" i="17"/>
  <c r="C39" i="17"/>
  <c r="C6" i="17"/>
  <c r="C7" i="17"/>
  <c r="K71" i="17"/>
  <c r="C70" i="17"/>
  <c r="C74" i="17"/>
  <c r="K74" i="17"/>
  <c r="C73" i="17"/>
  <c r="C71" i="17"/>
  <c r="K73" i="17"/>
  <c r="C72" i="17"/>
  <c r="K70" i="17"/>
  <c r="C83" i="17"/>
  <c r="K72" i="17"/>
  <c r="C82" i="17"/>
  <c r="K79" i="17"/>
  <c r="K83" i="17"/>
  <c r="C79" i="17"/>
  <c r="C84" i="17"/>
  <c r="K80" i="17"/>
  <c r="K84" i="17"/>
  <c r="F61" i="1" l="1"/>
  <c r="F58" i="1"/>
  <c r="F57" i="1"/>
  <c r="F59" i="1"/>
  <c r="F69" i="1"/>
  <c r="F68" i="1"/>
  <c r="F56" i="1"/>
  <c r="J18" i="14" s="1"/>
  <c r="F60" i="1"/>
  <c r="G70" i="17"/>
  <c r="G84" i="17"/>
  <c r="G83" i="17"/>
  <c r="G72" i="17"/>
  <c r="G79" i="17"/>
  <c r="G74" i="17"/>
  <c r="G71" i="17"/>
  <c r="G82" i="17"/>
  <c r="G73" i="17"/>
  <c r="G57" i="1" l="1"/>
  <c r="G60" i="1"/>
  <c r="G68" i="1"/>
  <c r="G56" i="1"/>
  <c r="G58" i="1"/>
  <c r="G59" i="1"/>
  <c r="G69" i="1"/>
  <c r="G61" i="1"/>
  <c r="E7" i="7"/>
  <c r="F36" i="3"/>
  <c r="B7" i="7"/>
  <c r="F33" i="3"/>
  <c r="F7" i="7"/>
  <c r="F37" i="3"/>
  <c r="C7" i="7"/>
  <c r="F34" i="3"/>
  <c r="C8" i="7"/>
  <c r="F38" i="3"/>
  <c r="D7" i="7"/>
  <c r="F35" i="3"/>
  <c r="BW64" i="17"/>
  <c r="BS64" i="17"/>
  <c r="BO64" i="17"/>
  <c r="BK64" i="17"/>
  <c r="BG64" i="17"/>
  <c r="BC64" i="17"/>
  <c r="AY64" i="17"/>
  <c r="AU64" i="17"/>
  <c r="AQ64" i="17"/>
  <c r="AM64" i="17"/>
  <c r="AI64" i="17"/>
  <c r="AE64" i="17"/>
  <c r="AA64" i="17"/>
  <c r="W64" i="17"/>
  <c r="S64" i="17"/>
  <c r="O64" i="17"/>
  <c r="K64" i="17"/>
  <c r="G64" i="17"/>
  <c r="G36" i="3" l="1"/>
  <c r="E55" i="7"/>
  <c r="B55" i="7"/>
  <c r="G33" i="3"/>
  <c r="F55" i="7"/>
  <c r="G37" i="3"/>
  <c r="D55" i="7"/>
  <c r="G35" i="3"/>
  <c r="G34" i="3"/>
  <c r="C55" i="7"/>
  <c r="G38" i="3"/>
  <c r="C56" i="7"/>
  <c r="J63" i="14"/>
  <c r="F37" i="7"/>
  <c r="E37" i="7"/>
  <c r="BW28" i="17"/>
  <c r="BW29" i="17" s="1"/>
  <c r="BW27" i="17"/>
  <c r="BW26" i="17"/>
  <c r="BW25" i="17"/>
  <c r="BS28" i="17"/>
  <c r="BS29" i="17" s="1"/>
  <c r="BS27" i="17"/>
  <c r="BS26" i="17"/>
  <c r="BS25" i="17"/>
  <c r="BO28" i="17"/>
  <c r="BO29" i="17" s="1"/>
  <c r="BO27" i="17"/>
  <c r="BO26" i="17"/>
  <c r="BO25" i="17"/>
  <c r="BK28" i="17"/>
  <c r="BK29" i="17" s="1"/>
  <c r="BK27" i="17"/>
  <c r="BK26" i="17"/>
  <c r="BK25" i="17"/>
  <c r="BG28" i="17"/>
  <c r="BG29" i="17" s="1"/>
  <c r="BG27" i="17"/>
  <c r="BG26" i="17"/>
  <c r="BG25" i="17"/>
  <c r="BC28" i="17"/>
  <c r="BC29" i="17" s="1"/>
  <c r="BC27" i="17"/>
  <c r="BC26" i="17"/>
  <c r="BC25" i="17"/>
  <c r="AY28" i="17"/>
  <c r="AY29" i="17" s="1"/>
  <c r="AY27" i="17"/>
  <c r="AY26" i="17"/>
  <c r="AY25" i="17"/>
  <c r="AU28" i="17"/>
  <c r="AU29" i="17" s="1"/>
  <c r="AU27" i="17"/>
  <c r="AU26" i="17"/>
  <c r="AU25" i="17"/>
  <c r="AQ28" i="17"/>
  <c r="AQ29" i="17" s="1"/>
  <c r="AQ27" i="17"/>
  <c r="AQ26" i="17"/>
  <c r="AQ25" i="17"/>
  <c r="AM28" i="17"/>
  <c r="AM29" i="17" s="1"/>
  <c r="AM27" i="17"/>
  <c r="AM26" i="17"/>
  <c r="AM25" i="17"/>
  <c r="AI28" i="17"/>
  <c r="AI29" i="17" s="1"/>
  <c r="AI27" i="17"/>
  <c r="AI26" i="17"/>
  <c r="AI25" i="17"/>
  <c r="AE28" i="17"/>
  <c r="AE29" i="17" s="1"/>
  <c r="AE27" i="17"/>
  <c r="AE26" i="17"/>
  <c r="AE25" i="17"/>
  <c r="AA28" i="17"/>
  <c r="AA29" i="17" s="1"/>
  <c r="AA27" i="17"/>
  <c r="AA26" i="17"/>
  <c r="AA25" i="17"/>
  <c r="W28" i="17"/>
  <c r="W29" i="17" s="1"/>
  <c r="W27" i="17"/>
  <c r="W26" i="17"/>
  <c r="W25" i="17"/>
  <c r="S28" i="17"/>
  <c r="S29" i="17" s="1"/>
  <c r="S27" i="17"/>
  <c r="S26" i="17"/>
  <c r="S25" i="17"/>
  <c r="O28" i="17"/>
  <c r="O29" i="17" s="1"/>
  <c r="O27" i="17"/>
  <c r="O26" i="17"/>
  <c r="O25" i="17"/>
  <c r="K28" i="17"/>
  <c r="K29" i="17" s="1"/>
  <c r="K27" i="17"/>
  <c r="K26" i="17"/>
  <c r="K25" i="17"/>
  <c r="G28" i="17"/>
  <c r="G29" i="17" s="1"/>
  <c r="G27" i="17"/>
  <c r="G26" i="17"/>
  <c r="G25" i="17"/>
  <c r="C28" i="17"/>
  <c r="C27" i="17"/>
  <c r="C26" i="17"/>
  <c r="C25" i="17"/>
  <c r="G80" i="17"/>
  <c r="C80" i="17"/>
  <c r="F55" i="1" l="1"/>
  <c r="G55" i="1"/>
  <c r="E85" i="7"/>
  <c r="L70" i="14" s="1"/>
  <c r="C85" i="7"/>
  <c r="J70" i="14" s="1"/>
  <c r="D85" i="7"/>
  <c r="K70" i="14" s="1"/>
  <c r="F85" i="7"/>
  <c r="M70" i="14" s="1"/>
  <c r="C31" i="17"/>
  <c r="C32" i="17" s="1"/>
  <c r="C33" i="17" s="1"/>
  <c r="AY31" i="17"/>
  <c r="AY32" i="17" s="1"/>
  <c r="AY33" i="17" s="1"/>
  <c r="BC31" i="17"/>
  <c r="BC32" i="17" s="1"/>
  <c r="BC33" i="17" s="1"/>
  <c r="BO31" i="17"/>
  <c r="BO32" i="17" s="1"/>
  <c r="BO33" i="17" s="1"/>
  <c r="BK31" i="17"/>
  <c r="BK32" i="17" s="1"/>
  <c r="BK33" i="17" s="1"/>
  <c r="BS31" i="17"/>
  <c r="BS32" i="17" s="1"/>
  <c r="BS33" i="17" s="1"/>
  <c r="BW31" i="17"/>
  <c r="BW32" i="17" s="1"/>
  <c r="BW33" i="17" s="1"/>
  <c r="G31" i="17"/>
  <c r="G32" i="17" s="1"/>
  <c r="G33" i="17" s="1"/>
  <c r="AA31" i="17"/>
  <c r="AA32" i="17" s="1"/>
  <c r="AA33" i="17" s="1"/>
  <c r="AI31" i="17"/>
  <c r="AI32" i="17" s="1"/>
  <c r="AI33" i="17" s="1"/>
  <c r="BG31" i="17"/>
  <c r="BG32" i="17" s="1"/>
  <c r="BG33" i="17" s="1"/>
  <c r="AU31" i="17"/>
  <c r="AU32" i="17" s="1"/>
  <c r="AU33" i="17" s="1"/>
  <c r="AM31" i="17"/>
  <c r="AM32" i="17" s="1"/>
  <c r="AM33" i="17" s="1"/>
  <c r="AQ31" i="17"/>
  <c r="AQ32" i="17" s="1"/>
  <c r="AQ33" i="17" s="1"/>
  <c r="AE31" i="17"/>
  <c r="AE32" i="17" s="1"/>
  <c r="AE33" i="17" s="1"/>
  <c r="W31" i="17"/>
  <c r="W32" i="17" s="1"/>
  <c r="W33" i="17" s="1"/>
  <c r="S31" i="17"/>
  <c r="S32" i="17" s="1"/>
  <c r="O31" i="17"/>
  <c r="O32" i="17" s="1"/>
  <c r="O33" i="17" s="1"/>
  <c r="K31" i="17"/>
  <c r="K32" i="17" s="1"/>
  <c r="F139" i="1"/>
  <c r="F136" i="1"/>
  <c r="F133" i="1"/>
  <c r="F128" i="1"/>
  <c r="AP57" i="1"/>
  <c r="AP58" i="1"/>
  <c r="AP59" i="1"/>
  <c r="AP60" i="1"/>
  <c r="AP61" i="1"/>
  <c r="AP62" i="1"/>
  <c r="AP56" i="1"/>
  <c r="K77" i="17"/>
  <c r="G77" i="17"/>
  <c r="C77" i="17"/>
  <c r="K76" i="17"/>
  <c r="G64" i="1" l="1"/>
  <c r="G70" i="1" s="1"/>
  <c r="F64" i="1"/>
  <c r="C84" i="7"/>
  <c r="J69" i="14" s="1"/>
  <c r="E84" i="7"/>
  <c r="L69" i="14" s="1"/>
  <c r="D84" i="7"/>
  <c r="K69" i="14" s="1"/>
  <c r="F84" i="7"/>
  <c r="M69" i="14" s="1"/>
  <c r="H65" i="1"/>
  <c r="H64" i="1"/>
  <c r="AY55" i="1"/>
  <c r="AY60" i="1"/>
  <c r="C34" i="17"/>
  <c r="AE34" i="17"/>
  <c r="AE58" i="17" s="1"/>
  <c r="BG63" i="1"/>
  <c r="AY34" i="17"/>
  <c r="AY58" i="17" s="1"/>
  <c r="BG69" i="1"/>
  <c r="AY54" i="1"/>
  <c r="AY61" i="1"/>
  <c r="AA34" i="17"/>
  <c r="AA58" i="17" s="1"/>
  <c r="BG67" i="1"/>
  <c r="AY57" i="1"/>
  <c r="BS34" i="17"/>
  <c r="BS58" i="17" s="1"/>
  <c r="BG71" i="1"/>
  <c r="BO34" i="17"/>
  <c r="BO58" i="17" s="1"/>
  <c r="BG65" i="1"/>
  <c r="K33" i="17"/>
  <c r="O34" i="17"/>
  <c r="O58" i="17" s="1"/>
  <c r="BG60" i="1"/>
  <c r="AQ34" i="17"/>
  <c r="AQ58" i="17" s="1"/>
  <c r="BG58" i="1"/>
  <c r="BC34" i="17"/>
  <c r="BC58" i="17" s="1"/>
  <c r="BG61" i="1"/>
  <c r="G34" i="17"/>
  <c r="G58" i="17" s="1"/>
  <c r="BG55" i="1"/>
  <c r="AM34" i="17"/>
  <c r="AM58" i="17" s="1"/>
  <c r="BG66" i="1"/>
  <c r="BG34" i="17"/>
  <c r="BG58" i="17" s="1"/>
  <c r="BG64" i="1"/>
  <c r="AY58" i="1"/>
  <c r="AY62" i="1"/>
  <c r="S33" i="17"/>
  <c r="W34" i="17"/>
  <c r="W58" i="17" s="1"/>
  <c r="BG57" i="1"/>
  <c r="AU34" i="17"/>
  <c r="AU58" i="17" s="1"/>
  <c r="BG68" i="1"/>
  <c r="BK34" i="17"/>
  <c r="BK58" i="17" s="1"/>
  <c r="BG62" i="1"/>
  <c r="AY56" i="1"/>
  <c r="AI34" i="17"/>
  <c r="AI58" i="17" s="1"/>
  <c r="BG59" i="1"/>
  <c r="AY59" i="1"/>
  <c r="BW34" i="17"/>
  <c r="BW58" i="17" s="1"/>
  <c r="BG70" i="1"/>
  <c r="AY63" i="1"/>
  <c r="G147" i="3"/>
  <c r="G145" i="3"/>
  <c r="C76" i="17"/>
  <c r="K78" i="17"/>
  <c r="G76" i="17"/>
  <c r="F65" i="1" l="1"/>
  <c r="G65" i="1"/>
  <c r="F70" i="1"/>
  <c r="F138" i="1"/>
  <c r="H66" i="1"/>
  <c r="H124" i="7" s="1"/>
  <c r="C58" i="17"/>
  <c r="S34" i="17"/>
  <c r="BG56" i="1"/>
  <c r="K34" i="17"/>
  <c r="BG54" i="1"/>
  <c r="G146" i="3"/>
  <c r="G144" i="3"/>
  <c r="G142" i="3"/>
  <c r="G143" i="3"/>
  <c r="G78" i="17"/>
  <c r="C78" i="17"/>
  <c r="E109" i="14" l="1"/>
  <c r="H126" i="7"/>
  <c r="G66" i="1"/>
  <c r="H76" i="7" s="1"/>
  <c r="F66" i="1"/>
  <c r="S58" i="17"/>
  <c r="C124" i="7"/>
  <c r="L34" i="3"/>
  <c r="L35" i="3"/>
  <c r="L37" i="3"/>
  <c r="L36" i="3"/>
  <c r="L33" i="3"/>
  <c r="K58" i="17"/>
  <c r="G132" i="3"/>
  <c r="G133" i="3" s="1"/>
  <c r="F132" i="3"/>
  <c r="F134" i="3" s="1"/>
  <c r="F43" i="3"/>
  <c r="E64" i="14" l="1"/>
  <c r="H78" i="7"/>
  <c r="C28" i="7"/>
  <c r="J35" i="3"/>
  <c r="J37" i="3"/>
  <c r="J34" i="3"/>
  <c r="J36" i="3"/>
  <c r="J33" i="3"/>
  <c r="C76" i="7"/>
  <c r="K35" i="3"/>
  <c r="K36" i="3"/>
  <c r="K37" i="3"/>
  <c r="K34" i="3"/>
  <c r="K33" i="3"/>
  <c r="F133" i="3"/>
  <c r="E21" i="14" l="1"/>
  <c r="F41" i="3" l="1"/>
  <c r="J113" i="3"/>
  <c r="G134" i="3" l="1"/>
  <c r="E29" i="14"/>
  <c r="E35" i="14" s="1"/>
  <c r="E36" i="14" s="1"/>
  <c r="E27" i="14"/>
  <c r="E26" i="14"/>
  <c r="H41" i="14" s="1"/>
  <c r="E25" i="14"/>
  <c r="C12" i="7"/>
  <c r="H27" i="7"/>
  <c r="H12" i="7"/>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A114" i="13"/>
  <c r="A113" i="13"/>
  <c r="A112" i="13"/>
  <c r="A111" i="13"/>
  <c r="A110" i="13"/>
  <c r="A109" i="13"/>
  <c r="A108" i="13"/>
  <c r="A107" i="13"/>
  <c r="A106" i="13"/>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Y22" i="13"/>
  <c r="Y15" i="13"/>
  <c r="Y18" i="13" s="1"/>
  <c r="R2" i="13"/>
  <c r="Q2" i="13"/>
  <c r="J2" i="13"/>
  <c r="H2" i="13"/>
  <c r="G2" i="13"/>
  <c r="L115" i="3"/>
  <c r="L114" i="3"/>
  <c r="L113" i="3"/>
  <c r="K115" i="3"/>
  <c r="K114" i="3"/>
  <c r="K113" i="3"/>
  <c r="J115" i="3"/>
  <c r="J114" i="3"/>
  <c r="F181" i="3"/>
  <c r="F180" i="3"/>
  <c r="F179" i="3"/>
  <c r="F156" i="3"/>
  <c r="F155" i="3"/>
  <c r="F81" i="3"/>
  <c r="F79" i="3"/>
  <c r="F80" i="3" s="1"/>
  <c r="F95" i="1" s="1"/>
  <c r="F67" i="3"/>
  <c r="F65" i="3"/>
  <c r="F66" i="3" s="1"/>
  <c r="F90" i="1" s="1"/>
  <c r="F60" i="3"/>
  <c r="F61" i="3" s="1"/>
  <c r="F84" i="1" s="1"/>
  <c r="F57" i="3"/>
  <c r="E283" i="3"/>
  <c r="E281" i="3"/>
  <c r="E17" i="3"/>
  <c r="E16" i="3"/>
  <c r="E15" i="3"/>
  <c r="F20" i="3" s="1"/>
  <c r="L18" i="6"/>
  <c r="M18" i="6" s="1"/>
  <c r="L17" i="6"/>
  <c r="M17" i="6" s="1"/>
  <c r="D26" i="6"/>
  <c r="AP38" i="1"/>
  <c r="G29" i="1"/>
  <c r="F132" i="1"/>
  <c r="F131" i="1"/>
  <c r="F130" i="1"/>
  <c r="F127" i="1"/>
  <c r="F124" i="1"/>
  <c r="N18" i="6"/>
  <c r="N17" i="6"/>
  <c r="D2" i="13"/>
  <c r="H113" i="3" l="1"/>
  <c r="H114" i="3"/>
  <c r="G114" i="3"/>
  <c r="E32" i="14"/>
  <c r="G113" i="3"/>
  <c r="G115" i="3"/>
  <c r="H115" i="3"/>
  <c r="Y24" i="13"/>
  <c r="E37" i="14"/>
  <c r="E40" i="14" s="1"/>
  <c r="H28" i="7"/>
  <c r="H30" i="7" s="1"/>
  <c r="F82" i="3"/>
  <c r="F97" i="1" s="1"/>
  <c r="J135" i="1" s="1"/>
  <c r="F114" i="3"/>
  <c r="F110" i="3"/>
  <c r="F113" i="3"/>
  <c r="F115" i="3"/>
  <c r="F112" i="3"/>
  <c r="F111" i="3"/>
  <c r="G135" i="3"/>
  <c r="F109" i="1" s="1"/>
  <c r="S257" i="3"/>
  <c r="T258" i="3"/>
  <c r="U259" i="3"/>
  <c r="S261" i="3"/>
  <c r="T262" i="3"/>
  <c r="U263" i="3"/>
  <c r="S265" i="3"/>
  <c r="T266" i="3"/>
  <c r="U267" i="3"/>
  <c r="S269" i="3"/>
  <c r="T270" i="3"/>
  <c r="U271" i="3"/>
  <c r="S273" i="3"/>
  <c r="T274" i="3"/>
  <c r="U275" i="3"/>
  <c r="U266" i="3"/>
  <c r="T269" i="3"/>
  <c r="S272" i="3"/>
  <c r="T273" i="3"/>
  <c r="S276" i="3"/>
  <c r="U257" i="3"/>
  <c r="S259" i="3"/>
  <c r="U261" i="3"/>
  <c r="S263" i="3"/>
  <c r="U265" i="3"/>
  <c r="S267" i="3"/>
  <c r="U269" i="3"/>
  <c r="T272" i="3"/>
  <c r="U273" i="3"/>
  <c r="T276" i="3"/>
  <c r="S258" i="3"/>
  <c r="U260" i="3"/>
  <c r="S262" i="3"/>
  <c r="U264" i="3"/>
  <c r="S266" i="3"/>
  <c r="U268" i="3"/>
  <c r="S270" i="3"/>
  <c r="U272" i="3"/>
  <c r="S274" i="3"/>
  <c r="U276" i="3"/>
  <c r="T257" i="3"/>
  <c r="U258" i="3"/>
  <c r="S260" i="3"/>
  <c r="T261" i="3"/>
  <c r="U262" i="3"/>
  <c r="S264" i="3"/>
  <c r="T265" i="3"/>
  <c r="S268" i="3"/>
  <c r="U270" i="3"/>
  <c r="U274" i="3"/>
  <c r="T260" i="3"/>
  <c r="T264" i="3"/>
  <c r="T268" i="3"/>
  <c r="S271" i="3"/>
  <c r="S275" i="3"/>
  <c r="T259" i="3"/>
  <c r="T263" i="3"/>
  <c r="T267" i="3"/>
  <c r="T271" i="3"/>
  <c r="T275" i="3"/>
  <c r="F106" i="1"/>
  <c r="F157" i="3"/>
  <c r="H42" i="14"/>
  <c r="C113" i="13"/>
  <c r="C87" i="13"/>
  <c r="C114" i="13"/>
  <c r="G41" i="14"/>
  <c r="G42" i="14" s="1"/>
  <c r="C111" i="13"/>
  <c r="C112" i="13"/>
  <c r="C37" i="7"/>
  <c r="J25" i="14" s="1"/>
  <c r="F41" i="14"/>
  <c r="F42" i="14" s="1"/>
  <c r="C10" i="13"/>
  <c r="C22" i="13"/>
  <c r="C34" i="13"/>
  <c r="C50" i="13"/>
  <c r="C78" i="13"/>
  <c r="C82" i="13"/>
  <c r="C86" i="13"/>
  <c r="C98" i="13"/>
  <c r="I41" i="14"/>
  <c r="I42" i="14" s="1"/>
  <c r="C80" i="13"/>
  <c r="F107" i="1"/>
  <c r="F68" i="3"/>
  <c r="D119" i="1"/>
  <c r="E119" i="1"/>
  <c r="J140" i="1" s="1"/>
  <c r="F119" i="1"/>
  <c r="E118" i="1"/>
  <c r="J139" i="1" s="1"/>
  <c r="F118" i="1"/>
  <c r="D118" i="1"/>
  <c r="Q17" i="6"/>
  <c r="F33" i="1"/>
  <c r="AQ54" i="1"/>
  <c r="D37" i="7"/>
  <c r="C110" i="13"/>
  <c r="C95" i="13"/>
  <c r="C79" i="13"/>
  <c r="C63" i="13"/>
  <c r="C47" i="13"/>
  <c r="C31" i="13"/>
  <c r="C107" i="13"/>
  <c r="C99" i="13"/>
  <c r="C71" i="13"/>
  <c r="C43" i="13"/>
  <c r="C35" i="13"/>
  <c r="C11" i="13"/>
  <c r="C91" i="13"/>
  <c r="C83" i="13"/>
  <c r="C55" i="13"/>
  <c r="C27" i="13"/>
  <c r="C15" i="13"/>
  <c r="C103" i="13"/>
  <c r="C96" i="13"/>
  <c r="C88" i="13"/>
  <c r="C75" i="13"/>
  <c r="C67" i="13"/>
  <c r="C60" i="13"/>
  <c r="C39" i="13"/>
  <c r="C32" i="13"/>
  <c r="C24" i="13"/>
  <c r="C19" i="13"/>
  <c r="C94" i="13"/>
  <c r="C66" i="13"/>
  <c r="C38" i="13"/>
  <c r="C12" i="13"/>
  <c r="C102" i="13"/>
  <c r="C59" i="13"/>
  <c r="C23" i="13"/>
  <c r="C108" i="13"/>
  <c r="C72" i="13"/>
  <c r="C30" i="13"/>
  <c r="C51" i="13"/>
  <c r="C44" i="13"/>
  <c r="C18" i="13"/>
  <c r="C13" i="13"/>
  <c r="C17" i="13"/>
  <c r="C21" i="13"/>
  <c r="C25" i="13"/>
  <c r="C29" i="13"/>
  <c r="C33" i="13"/>
  <c r="C37" i="13"/>
  <c r="C41" i="13"/>
  <c r="C45" i="13"/>
  <c r="C49" i="13"/>
  <c r="C53" i="13"/>
  <c r="C57" i="13"/>
  <c r="C61" i="13"/>
  <c r="C65" i="13"/>
  <c r="C69" i="13"/>
  <c r="C73" i="13"/>
  <c r="C77" i="13"/>
  <c r="C81" i="13"/>
  <c r="C85" i="13"/>
  <c r="C89" i="13"/>
  <c r="C93" i="13"/>
  <c r="C97" i="13"/>
  <c r="C101" i="13"/>
  <c r="C105" i="13"/>
  <c r="C109" i="13"/>
  <c r="C16" i="13"/>
  <c r="C20" i="13"/>
  <c r="C28" i="13"/>
  <c r="C40" i="13"/>
  <c r="C48" i="13"/>
  <c r="C56" i="13"/>
  <c r="C64" i="13"/>
  <c r="C76" i="13"/>
  <c r="C92" i="13"/>
  <c r="C104" i="13"/>
  <c r="E39" i="14"/>
  <c r="C26" i="13"/>
  <c r="C42" i="13"/>
  <c r="C58" i="13"/>
  <c r="C74" i="13"/>
  <c r="C90" i="13"/>
  <c r="C106" i="13"/>
  <c r="C14" i="13"/>
  <c r="C46" i="13"/>
  <c r="C54" i="13"/>
  <c r="C62" i="13"/>
  <c r="C70" i="13"/>
  <c r="E59" i="14"/>
  <c r="C36" i="13"/>
  <c r="C52" i="13"/>
  <c r="C68" i="13"/>
  <c r="C84" i="13"/>
  <c r="C100" i="13"/>
  <c r="E41" i="14"/>
  <c r="E42" i="14" s="1"/>
  <c r="X41" i="14"/>
  <c r="X42" i="14" s="1"/>
  <c r="W41" i="14"/>
  <c r="W42" i="14" s="1"/>
  <c r="V41" i="14"/>
  <c r="V42" i="14" s="1"/>
  <c r="U41" i="14"/>
  <c r="U42" i="14" s="1"/>
  <c r="T41" i="14"/>
  <c r="T42" i="14" s="1"/>
  <c r="S41" i="14"/>
  <c r="S42" i="14" s="1"/>
  <c r="R41" i="14"/>
  <c r="R42" i="14" s="1"/>
  <c r="Q41" i="14"/>
  <c r="Q42" i="14" s="1"/>
  <c r="P41" i="14"/>
  <c r="P42" i="14" s="1"/>
  <c r="O41" i="14"/>
  <c r="O42" i="14" s="1"/>
  <c r="N41" i="14"/>
  <c r="N42" i="14" s="1"/>
  <c r="M41" i="14"/>
  <c r="M42" i="14" s="1"/>
  <c r="K41" i="14"/>
  <c r="K42" i="14" s="1"/>
  <c r="J41" i="14"/>
  <c r="J42" i="14" s="1"/>
  <c r="L41" i="14"/>
  <c r="L42" i="14" s="1"/>
  <c r="F35" i="14" l="1"/>
  <c r="F80" i="14"/>
  <c r="F125" i="14"/>
  <c r="C107" i="7"/>
  <c r="C109" i="7" s="1"/>
  <c r="C110" i="7" s="1"/>
  <c r="C113" i="7" s="1"/>
  <c r="C11" i="7"/>
  <c r="C13" i="7" s="1"/>
  <c r="C14" i="7" s="1"/>
  <c r="F99" i="1"/>
  <c r="J134" i="1" s="1"/>
  <c r="F100" i="1"/>
  <c r="J136" i="1" s="1"/>
  <c r="C59" i="7"/>
  <c r="C61" i="7" s="1"/>
  <c r="C63" i="7" s="1"/>
  <c r="C64" i="7" s="1"/>
  <c r="C66" i="7" s="1"/>
  <c r="F70" i="3"/>
  <c r="E23" i="14" s="1"/>
  <c r="F92" i="1"/>
  <c r="E19" i="14"/>
  <c r="F125" i="1"/>
  <c r="F126" i="1"/>
  <c r="K25" i="14"/>
  <c r="E36" i="7"/>
  <c r="C36" i="7"/>
  <c r="J24" i="14" s="1"/>
  <c r="F69" i="3"/>
  <c r="D36" i="7"/>
  <c r="K24" i="14" s="1"/>
  <c r="F108" i="1"/>
  <c r="E44" i="14"/>
  <c r="F23" i="3"/>
  <c r="F21" i="3"/>
  <c r="F36" i="1" s="1"/>
  <c r="F127" i="14" l="1"/>
  <c r="F126" i="14"/>
  <c r="G125" i="14"/>
  <c r="G80" i="14"/>
  <c r="F82" i="14"/>
  <c r="F81" i="14"/>
  <c r="F36" i="14"/>
  <c r="F37" i="14"/>
  <c r="G35" i="14"/>
  <c r="C111" i="7"/>
  <c r="C112" i="7" s="1"/>
  <c r="C114" i="7" s="1"/>
  <c r="C118" i="7" s="1"/>
  <c r="C117" i="7" s="1"/>
  <c r="C119" i="7" s="1"/>
  <c r="C121" i="7" s="1"/>
  <c r="H83" i="3" s="1"/>
  <c r="C62" i="7"/>
  <c r="C65" i="7" s="1"/>
  <c r="C70" i="7" s="1"/>
  <c r="C69" i="7" s="1"/>
  <c r="C71" i="7" s="1"/>
  <c r="C73" i="7" s="1"/>
  <c r="G83" i="3" s="1"/>
  <c r="I121" i="13"/>
  <c r="I240" i="13"/>
  <c r="C17" i="7"/>
  <c r="C15" i="7"/>
  <c r="C16" i="7" s="1"/>
  <c r="F42" i="3"/>
  <c r="F50" i="1" s="1"/>
  <c r="F44" i="3"/>
  <c r="P97" i="13"/>
  <c r="F20" i="13"/>
  <c r="L24" i="14"/>
  <c r="F36" i="7"/>
  <c r="L25" i="14"/>
  <c r="F40" i="3"/>
  <c r="F48" i="1" s="1"/>
  <c r="P90" i="13"/>
  <c r="P89" i="13"/>
  <c r="Q55" i="13"/>
  <c r="F54" i="13"/>
  <c r="Q34" i="13"/>
  <c r="P18" i="13"/>
  <c r="P102" i="13"/>
  <c r="Q23" i="13"/>
  <c r="F74" i="13"/>
  <c r="Q61" i="13"/>
  <c r="P87" i="13"/>
  <c r="Q88" i="13"/>
  <c r="P83" i="13"/>
  <c r="P80" i="13"/>
  <c r="Q16" i="13"/>
  <c r="F80" i="13"/>
  <c r="Q12" i="13"/>
  <c r="Q89" i="13"/>
  <c r="Q78" i="13"/>
  <c r="P49" i="13"/>
  <c r="P111" i="13"/>
  <c r="P100" i="13"/>
  <c r="F85" i="13"/>
  <c r="F64" i="13"/>
  <c r="F34" i="13"/>
  <c r="Q26" i="13"/>
  <c r="F59" i="13"/>
  <c r="Q85" i="13"/>
  <c r="F48" i="13"/>
  <c r="F21" i="13"/>
  <c r="F25" i="13"/>
  <c r="F77" i="13"/>
  <c r="P45" i="13"/>
  <c r="F91" i="13"/>
  <c r="Q43" i="13"/>
  <c r="P61" i="13"/>
  <c r="P76" i="13"/>
  <c r="Q110" i="13"/>
  <c r="P23" i="13"/>
  <c r="Q84" i="13"/>
  <c r="P77" i="13"/>
  <c r="P36" i="13"/>
  <c r="F33" i="13"/>
  <c r="F29" i="13"/>
  <c r="F46" i="13"/>
  <c r="F13" i="13"/>
  <c r="F52" i="13"/>
  <c r="F18" i="13"/>
  <c r="F98" i="13"/>
  <c r="P39" i="13"/>
  <c r="P82" i="13"/>
  <c r="F43" i="13"/>
  <c r="F107" i="13"/>
  <c r="Q74" i="13"/>
  <c r="Q83" i="13"/>
  <c r="Q41" i="13"/>
  <c r="Q99" i="13"/>
  <c r="P16" i="13"/>
  <c r="Q67" i="13"/>
  <c r="F41" i="13"/>
  <c r="F23" i="13"/>
  <c r="P106" i="13"/>
  <c r="F102" i="13"/>
  <c r="P67" i="13"/>
  <c r="F108" i="13"/>
  <c r="F56" i="13"/>
  <c r="P94" i="13"/>
  <c r="Q109" i="13"/>
  <c r="Q49" i="13"/>
  <c r="F75" i="13"/>
  <c r="Q48" i="13"/>
  <c r="Q114" i="13"/>
  <c r="Q32" i="13"/>
  <c r="Q92" i="13"/>
  <c r="Q15" i="13"/>
  <c r="Q71" i="13"/>
  <c r="P47" i="13"/>
  <c r="P12" i="13"/>
  <c r="Q95" i="13"/>
  <c r="Q97" i="13"/>
  <c r="P92" i="13"/>
  <c r="P54" i="13"/>
  <c r="Q87" i="13"/>
  <c r="P105" i="13"/>
  <c r="P64" i="13"/>
  <c r="Q11" i="13"/>
  <c r="Q103" i="13"/>
  <c r="P79" i="13"/>
  <c r="P20" i="13"/>
  <c r="Q100" i="13"/>
  <c r="F76" i="13"/>
  <c r="F17" i="13"/>
  <c r="F84" i="13"/>
  <c r="F100" i="13"/>
  <c r="F27" i="13"/>
  <c r="F81" i="13"/>
  <c r="Q13" i="13"/>
  <c r="F78" i="13"/>
  <c r="F31" i="13"/>
  <c r="F86" i="13"/>
  <c r="Q72" i="13"/>
  <c r="F40" i="13"/>
  <c r="F82" i="13"/>
  <c r="P37" i="13"/>
  <c r="Q80" i="13"/>
  <c r="Q44" i="13"/>
  <c r="P53" i="13"/>
  <c r="Q21" i="13"/>
  <c r="Q104" i="13"/>
  <c r="F63" i="13"/>
  <c r="F95" i="13"/>
  <c r="P109" i="13"/>
  <c r="P26" i="13"/>
  <c r="Q38" i="13"/>
  <c r="Q102" i="13"/>
  <c r="Q39" i="13"/>
  <c r="P104" i="13"/>
  <c r="Q51" i="13"/>
  <c r="P65" i="13"/>
  <c r="Q37" i="13"/>
  <c r="P28" i="13"/>
  <c r="P43" i="13"/>
  <c r="P41" i="13"/>
  <c r="Q36" i="13"/>
  <c r="P55" i="13"/>
  <c r="P69" i="13"/>
  <c r="P84" i="13"/>
  <c r="F97" i="13"/>
  <c r="F62" i="13"/>
  <c r="F105" i="13"/>
  <c r="F42" i="13"/>
  <c r="Q33" i="13"/>
  <c r="F53" i="13"/>
  <c r="F110" i="13"/>
  <c r="F24" i="13"/>
  <c r="Q70" i="13"/>
  <c r="F58" i="13"/>
  <c r="P10" i="13"/>
  <c r="F22" i="13"/>
  <c r="F61" i="13"/>
  <c r="F104" i="13"/>
  <c r="P114" i="13"/>
  <c r="P58" i="13"/>
  <c r="P15" i="13"/>
  <c r="P93" i="13"/>
  <c r="Q58" i="13"/>
  <c r="F47" i="13"/>
  <c r="F79" i="13"/>
  <c r="F111" i="13"/>
  <c r="Q56" i="13"/>
  <c r="P98" i="13"/>
  <c r="Q90" i="13"/>
  <c r="Q94" i="13"/>
  <c r="Q27" i="13"/>
  <c r="P88" i="13"/>
  <c r="Q96" i="13"/>
  <c r="F90" i="13"/>
  <c r="F69" i="13"/>
  <c r="F112" i="13"/>
  <c r="F113" i="13"/>
  <c r="F11" i="13"/>
  <c r="P11" i="13"/>
  <c r="Q46" i="13"/>
  <c r="P27" i="13"/>
  <c r="Q75" i="13"/>
  <c r="P13" i="13"/>
  <c r="P81" i="13"/>
  <c r="Q113" i="13"/>
  <c r="P60" i="13"/>
  <c r="Q20" i="13"/>
  <c r="Q30" i="13"/>
  <c r="Q31" i="13"/>
  <c r="P75" i="13"/>
  <c r="P33" i="13"/>
  <c r="Q81" i="13"/>
  <c r="Q65" i="13"/>
  <c r="P48" i="13"/>
  <c r="P112" i="13"/>
  <c r="Q62" i="13"/>
  <c r="Q47" i="13"/>
  <c r="Q91" i="13"/>
  <c r="Q25" i="13"/>
  <c r="P31" i="13"/>
  <c r="P68" i="13"/>
  <c r="Q52" i="13"/>
  <c r="P66" i="13"/>
  <c r="F12" i="13"/>
  <c r="P29" i="13"/>
  <c r="Q54" i="13"/>
  <c r="F28" i="13"/>
  <c r="F19" i="13"/>
  <c r="F70" i="13"/>
  <c r="P30" i="13"/>
  <c r="F16" i="13"/>
  <c r="F38" i="13"/>
  <c r="F68" i="13"/>
  <c r="F96" i="13"/>
  <c r="P50" i="13"/>
  <c r="Q93" i="13"/>
  <c r="F49" i="13"/>
  <c r="F106" i="13"/>
  <c r="F44" i="13"/>
  <c r="F73" i="13"/>
  <c r="F101" i="13"/>
  <c r="P85" i="13"/>
  <c r="F14" i="13"/>
  <c r="F30" i="13"/>
  <c r="F50" i="13"/>
  <c r="F72" i="13"/>
  <c r="F93" i="13"/>
  <c r="F114" i="13"/>
  <c r="P74" i="13"/>
  <c r="Q42" i="13"/>
  <c r="P21" i="13"/>
  <c r="P95" i="13"/>
  <c r="Q82" i="13"/>
  <c r="P35" i="13"/>
  <c r="P73" i="13"/>
  <c r="P110" i="13"/>
  <c r="Q40" i="13"/>
  <c r="Q77" i="13"/>
  <c r="F39" i="13"/>
  <c r="F55" i="13"/>
  <c r="F71" i="13"/>
  <c r="F87" i="13"/>
  <c r="F103" i="13"/>
  <c r="P42" i="13"/>
  <c r="Q28" i="13"/>
  <c r="Q98" i="13"/>
  <c r="P62" i="13"/>
  <c r="Q24" i="13"/>
  <c r="Q66" i="13"/>
  <c r="Q86" i="13"/>
  <c r="Q68" i="13"/>
  <c r="Q107" i="13"/>
  <c r="P24" i="13"/>
  <c r="Q14" i="13"/>
  <c r="Q19" i="13"/>
  <c r="P59" i="13"/>
  <c r="P107" i="13"/>
  <c r="Q73" i="13"/>
  <c r="Q105" i="13"/>
  <c r="P44" i="13"/>
  <c r="P108" i="13"/>
  <c r="P19" i="13"/>
  <c r="Q63" i="13"/>
  <c r="Q111" i="13"/>
  <c r="Q57" i="13"/>
  <c r="P71" i="13"/>
  <c r="P32" i="13"/>
  <c r="P96" i="13"/>
  <c r="P38" i="13"/>
  <c r="Q35" i="13"/>
  <c r="Q79" i="13"/>
  <c r="P17" i="13"/>
  <c r="Q101" i="13"/>
  <c r="P52" i="13"/>
  <c r="P22" i="13"/>
  <c r="P103" i="13"/>
  <c r="F57" i="13"/>
  <c r="F32" i="13"/>
  <c r="F60" i="13"/>
  <c r="F89" i="13"/>
  <c r="Q50" i="13"/>
  <c r="F36" i="13"/>
  <c r="F92" i="13"/>
  <c r="F15" i="13"/>
  <c r="F37" i="13"/>
  <c r="F65" i="13"/>
  <c r="F94" i="13"/>
  <c r="P46" i="13"/>
  <c r="F10" i="13"/>
  <c r="F26" i="13"/>
  <c r="F45" i="13"/>
  <c r="F66" i="13"/>
  <c r="F88" i="13"/>
  <c r="F109" i="13"/>
  <c r="P57" i="13"/>
  <c r="Q22" i="13"/>
  <c r="Q106" i="13"/>
  <c r="P78" i="13"/>
  <c r="Q64" i="13"/>
  <c r="P25" i="13"/>
  <c r="P63" i="13"/>
  <c r="P101" i="13"/>
  <c r="Q29" i="13"/>
  <c r="Q69" i="13"/>
  <c r="F35" i="13"/>
  <c r="F51" i="13"/>
  <c r="F67" i="13"/>
  <c r="F83" i="13"/>
  <c r="F99" i="13"/>
  <c r="P14" i="13"/>
  <c r="Q18" i="13"/>
  <c r="Q76" i="13"/>
  <c r="P34" i="13"/>
  <c r="Q10" i="13"/>
  <c r="Q60" i="13"/>
  <c r="Q112" i="13"/>
  <c r="Q108" i="13"/>
  <c r="P72" i="13"/>
  <c r="Q53" i="13"/>
  <c r="P70" i="13"/>
  <c r="P91" i="13"/>
  <c r="P51" i="13"/>
  <c r="P56" i="13"/>
  <c r="P99" i="13"/>
  <c r="P86" i="13"/>
  <c r="Q59" i="13"/>
  <c r="Q17" i="13"/>
  <c r="Q45" i="13"/>
  <c r="P113" i="13"/>
  <c r="P40" i="13"/>
  <c r="F22" i="3"/>
  <c r="F37" i="1" s="1"/>
  <c r="I2" i="13"/>
  <c r="F26" i="3"/>
  <c r="E282" i="3"/>
  <c r="F40" i="1"/>
  <c r="F25" i="3"/>
  <c r="F24" i="3"/>
  <c r="F40" i="14" l="1"/>
  <c r="F39" i="14"/>
  <c r="G81" i="14"/>
  <c r="H80" i="14"/>
  <c r="G82" i="14"/>
  <c r="G127" i="14"/>
  <c r="G126" i="14"/>
  <c r="H125" i="14"/>
  <c r="G37" i="14"/>
  <c r="G36" i="14"/>
  <c r="H35" i="14"/>
  <c r="F85" i="14"/>
  <c r="F84" i="14"/>
  <c r="F129" i="14"/>
  <c r="F130" i="14"/>
  <c r="H84" i="3"/>
  <c r="C125" i="7"/>
  <c r="G84" i="3"/>
  <c r="C77" i="7"/>
  <c r="C18" i="7"/>
  <c r="C22" i="7" s="1"/>
  <c r="C21" i="7" s="1"/>
  <c r="C23" i="7" s="1"/>
  <c r="C25" i="7" s="1"/>
  <c r="C29" i="7" s="1"/>
  <c r="M24" i="14"/>
  <c r="M25" i="14"/>
  <c r="Q6" i="13"/>
  <c r="Q5" i="13"/>
  <c r="F184" i="3"/>
  <c r="F42" i="1"/>
  <c r="F185" i="3"/>
  <c r="F27" i="3"/>
  <c r="F44" i="1" s="1"/>
  <c r="F43" i="1"/>
  <c r="AP54" i="1"/>
  <c r="F183" i="3"/>
  <c r="F41" i="1"/>
  <c r="F49" i="3"/>
  <c r="F52" i="1"/>
  <c r="F44" i="14" l="1"/>
  <c r="C139" i="7"/>
  <c r="H62" i="3"/>
  <c r="C90" i="7"/>
  <c r="G62" i="3"/>
  <c r="F134" i="14"/>
  <c r="F89" i="14"/>
  <c r="H127" i="14"/>
  <c r="I125" i="14"/>
  <c r="H126" i="14"/>
  <c r="H81" i="14"/>
  <c r="H82" i="14"/>
  <c r="I80" i="14"/>
  <c r="H36" i="14"/>
  <c r="H37" i="14"/>
  <c r="I35" i="14"/>
  <c r="G129" i="14"/>
  <c r="G130" i="14"/>
  <c r="G39" i="14"/>
  <c r="G40" i="14"/>
  <c r="G85" i="14"/>
  <c r="G84" i="14"/>
  <c r="C140" i="7"/>
  <c r="C142" i="7"/>
  <c r="C143" i="7"/>
  <c r="C141" i="7"/>
  <c r="C138" i="7"/>
  <c r="B240" i="13"/>
  <c r="B121" i="13"/>
  <c r="C240" i="13"/>
  <c r="C121" i="13"/>
  <c r="C92" i="7"/>
  <c r="C93" i="7"/>
  <c r="C95" i="7"/>
  <c r="C94" i="7"/>
  <c r="C91" i="7"/>
  <c r="F62" i="3"/>
  <c r="C42" i="7"/>
  <c r="O204" i="3" s="1"/>
  <c r="C43" i="7"/>
  <c r="C47" i="7"/>
  <c r="C44" i="7"/>
  <c r="O206" i="3" s="1"/>
  <c r="C45" i="7"/>
  <c r="C46" i="7"/>
  <c r="F83" i="3"/>
  <c r="F84" i="3" s="1"/>
  <c r="F98" i="1" s="1"/>
  <c r="X197" i="3"/>
  <c r="V235" i="3" s="1"/>
  <c r="J130" i="1"/>
  <c r="J132" i="1"/>
  <c r="B2" i="13"/>
  <c r="D107" i="13" s="1"/>
  <c r="J131" i="1"/>
  <c r="C2" i="13"/>
  <c r="F50" i="3"/>
  <c r="F189" i="3" s="1"/>
  <c r="F188" i="3"/>
  <c r="F48" i="3"/>
  <c r="F187" i="3" s="1"/>
  <c r="F85" i="1" l="1"/>
  <c r="G44" i="14"/>
  <c r="G89" i="14"/>
  <c r="H40" i="14"/>
  <c r="H39" i="14"/>
  <c r="G134" i="14"/>
  <c r="I82" i="14"/>
  <c r="J80" i="14"/>
  <c r="I81" i="14"/>
  <c r="I127" i="14"/>
  <c r="I126" i="14"/>
  <c r="J125" i="14"/>
  <c r="J35" i="14"/>
  <c r="I37" i="14"/>
  <c r="I36" i="14"/>
  <c r="H85" i="14"/>
  <c r="H84" i="14"/>
  <c r="H129" i="14"/>
  <c r="H130" i="14"/>
  <c r="E232" i="13"/>
  <c r="E230" i="13"/>
  <c r="E231" i="13"/>
  <c r="E233" i="13"/>
  <c r="E352" i="13"/>
  <c r="E349" i="13"/>
  <c r="E350" i="13"/>
  <c r="E351" i="13"/>
  <c r="D135" i="13"/>
  <c r="E135" i="13" s="1"/>
  <c r="D139" i="13"/>
  <c r="E139" i="13" s="1"/>
  <c r="D136" i="13"/>
  <c r="E136" i="13" s="1"/>
  <c r="D144" i="13"/>
  <c r="D148" i="13"/>
  <c r="E148" i="13" s="1"/>
  <c r="D132" i="13"/>
  <c r="D227" i="13"/>
  <c r="E227" i="13" s="1"/>
  <c r="D226" i="13"/>
  <c r="E226" i="13" s="1"/>
  <c r="D229" i="13"/>
  <c r="E229" i="13" s="1"/>
  <c r="D213" i="13"/>
  <c r="E213" i="13" s="1"/>
  <c r="D216" i="13"/>
  <c r="E216" i="13" s="1"/>
  <c r="D206" i="13"/>
  <c r="E206" i="13" s="1"/>
  <c r="D224" i="13"/>
  <c r="E224" i="13" s="1"/>
  <c r="D201" i="13"/>
  <c r="E201" i="13" s="1"/>
  <c r="D190" i="13"/>
  <c r="E190" i="13" s="1"/>
  <c r="D189" i="13"/>
  <c r="E189" i="13" s="1"/>
  <c r="D203" i="13"/>
  <c r="E203" i="13" s="1"/>
  <c r="D184" i="13"/>
  <c r="E184" i="13" s="1"/>
  <c r="D168" i="13"/>
  <c r="E168" i="13" s="1"/>
  <c r="D196" i="13"/>
  <c r="E196" i="13" s="1"/>
  <c r="D179" i="13"/>
  <c r="E179" i="13" s="1"/>
  <c r="D163" i="13"/>
  <c r="E163" i="13" s="1"/>
  <c r="D156" i="13"/>
  <c r="E156" i="13" s="1"/>
  <c r="D166" i="13"/>
  <c r="E166" i="13" s="1"/>
  <c r="D147" i="13"/>
  <c r="E147" i="13" s="1"/>
  <c r="D158" i="13"/>
  <c r="E158" i="13" s="1"/>
  <c r="D142" i="13"/>
  <c r="E142" i="13" s="1"/>
  <c r="D178" i="13"/>
  <c r="E178" i="13" s="1"/>
  <c r="D153" i="13"/>
  <c r="E153" i="13" s="1"/>
  <c r="D137" i="13"/>
  <c r="E137" i="13" s="1"/>
  <c r="D140" i="13"/>
  <c r="E140" i="13" s="1"/>
  <c r="D204" i="13"/>
  <c r="E204" i="13" s="1"/>
  <c r="D141" i="13"/>
  <c r="E141" i="13" s="1"/>
  <c r="D223" i="13"/>
  <c r="E223" i="13" s="1"/>
  <c r="D222" i="13"/>
  <c r="E222" i="13" s="1"/>
  <c r="D225" i="13"/>
  <c r="E225" i="13" s="1"/>
  <c r="D232" i="13"/>
  <c r="D228" i="13"/>
  <c r="E228" i="13" s="1"/>
  <c r="D202" i="13"/>
  <c r="E202" i="13" s="1"/>
  <c r="D212" i="13"/>
  <c r="E212" i="13" s="1"/>
  <c r="D197" i="13"/>
  <c r="E197" i="13" s="1"/>
  <c r="D208" i="13"/>
  <c r="E208" i="13" s="1"/>
  <c r="D185" i="13"/>
  <c r="E185" i="13" s="1"/>
  <c r="D193" i="13"/>
  <c r="E193" i="13" s="1"/>
  <c r="D180" i="13"/>
  <c r="E180" i="13" s="1"/>
  <c r="D164" i="13"/>
  <c r="E164" i="13" s="1"/>
  <c r="D191" i="13"/>
  <c r="E191" i="13" s="1"/>
  <c r="D175" i="13"/>
  <c r="E175" i="13" s="1"/>
  <c r="D186" i="13"/>
  <c r="E186" i="13" s="1"/>
  <c r="D152" i="13"/>
  <c r="E152" i="13" s="1"/>
  <c r="D159" i="13"/>
  <c r="E159" i="13" s="1"/>
  <c r="D177" i="13"/>
  <c r="E177" i="13" s="1"/>
  <c r="D154" i="13"/>
  <c r="E154" i="13" s="1"/>
  <c r="D138" i="13"/>
  <c r="E138" i="13" s="1"/>
  <c r="D170" i="13"/>
  <c r="E170" i="13" s="1"/>
  <c r="D149" i="13"/>
  <c r="E149" i="13" s="1"/>
  <c r="D133" i="13"/>
  <c r="E133" i="13" s="1"/>
  <c r="D143" i="13"/>
  <c r="E143" i="13" s="1"/>
  <c r="D221" i="13"/>
  <c r="E221" i="13" s="1"/>
  <c r="D214" i="13"/>
  <c r="E214" i="13" s="1"/>
  <c r="D209" i="13"/>
  <c r="E209" i="13" s="1"/>
  <c r="D200" i="13"/>
  <c r="E200" i="13" s="1"/>
  <c r="D192" i="13"/>
  <c r="E192" i="13" s="1"/>
  <c r="D160" i="13"/>
  <c r="E160" i="13" s="1"/>
  <c r="D171" i="13"/>
  <c r="E171" i="13" s="1"/>
  <c r="D182" i="13"/>
  <c r="E182" i="13" s="1"/>
  <c r="D169" i="13"/>
  <c r="E169" i="13" s="1"/>
  <c r="D134" i="13"/>
  <c r="E134" i="13" s="1"/>
  <c r="D145" i="13"/>
  <c r="E145" i="13" s="1"/>
  <c r="D231" i="13"/>
  <c r="D233" i="13"/>
  <c r="D215" i="13"/>
  <c r="E215" i="13" s="1"/>
  <c r="D194" i="13"/>
  <c r="E194" i="13" s="1"/>
  <c r="D199" i="13"/>
  <c r="E199" i="13" s="1"/>
  <c r="D211" i="13"/>
  <c r="E211" i="13" s="1"/>
  <c r="D172" i="13"/>
  <c r="E172" i="13" s="1"/>
  <c r="D167" i="13"/>
  <c r="E167" i="13" s="1"/>
  <c r="D174" i="13"/>
  <c r="E174" i="13" s="1"/>
  <c r="D161" i="13"/>
  <c r="E161" i="13" s="1"/>
  <c r="D130" i="13"/>
  <c r="E130" i="13" s="1"/>
  <c r="D131" i="13"/>
  <c r="E131" i="13" s="1"/>
  <c r="D219" i="13"/>
  <c r="E219" i="13" s="1"/>
  <c r="D218" i="13"/>
  <c r="E218" i="13" s="1"/>
  <c r="D220" i="13"/>
  <c r="E220" i="13" s="1"/>
  <c r="D198" i="13"/>
  <c r="E198" i="13" s="1"/>
  <c r="D207" i="13"/>
  <c r="E207" i="13" s="1"/>
  <c r="D181" i="13"/>
  <c r="E181" i="13" s="1"/>
  <c r="D176" i="13"/>
  <c r="E176" i="13" s="1"/>
  <c r="D187" i="13"/>
  <c r="E187" i="13" s="1"/>
  <c r="D173" i="13"/>
  <c r="E173" i="13" s="1"/>
  <c r="D155" i="13"/>
  <c r="E155" i="13" s="1"/>
  <c r="D150" i="13"/>
  <c r="E150" i="13" s="1"/>
  <c r="D162" i="13"/>
  <c r="E162" i="13" s="1"/>
  <c r="D129" i="13"/>
  <c r="E129" i="13" s="1"/>
  <c r="D230" i="13"/>
  <c r="D217" i="13"/>
  <c r="E217" i="13" s="1"/>
  <c r="D210" i="13"/>
  <c r="E210" i="13" s="1"/>
  <c r="D205" i="13"/>
  <c r="E205" i="13" s="1"/>
  <c r="D195" i="13"/>
  <c r="E195" i="13" s="1"/>
  <c r="D188" i="13"/>
  <c r="E188" i="13" s="1"/>
  <c r="D183" i="13"/>
  <c r="E183" i="13" s="1"/>
  <c r="D165" i="13"/>
  <c r="E165" i="13" s="1"/>
  <c r="D151" i="13"/>
  <c r="E151" i="13" s="1"/>
  <c r="D146" i="13"/>
  <c r="E146" i="13" s="1"/>
  <c r="D157" i="13"/>
  <c r="E157" i="13" s="1"/>
  <c r="D265" i="13"/>
  <c r="E265" i="13" s="1"/>
  <c r="D262" i="13"/>
  <c r="E262" i="13" s="1"/>
  <c r="D249" i="13"/>
  <c r="E249" i="13" s="1"/>
  <c r="D278" i="13"/>
  <c r="E278" i="13" s="1"/>
  <c r="D269" i="13"/>
  <c r="E269" i="13" s="1"/>
  <c r="D266" i="13"/>
  <c r="D253" i="13"/>
  <c r="E253" i="13" s="1"/>
  <c r="D250" i="13"/>
  <c r="E250" i="13" s="1"/>
  <c r="D274" i="13"/>
  <c r="E274" i="13" s="1"/>
  <c r="D345" i="13"/>
  <c r="E345" i="13" s="1"/>
  <c r="D340" i="13"/>
  <c r="E340" i="13" s="1"/>
  <c r="D347" i="13"/>
  <c r="E347" i="13" s="1"/>
  <c r="D331" i="13"/>
  <c r="E331" i="13" s="1"/>
  <c r="D333" i="13"/>
  <c r="E333" i="13" s="1"/>
  <c r="D318" i="13"/>
  <c r="E318" i="13" s="1"/>
  <c r="D325" i="13"/>
  <c r="E325" i="13" s="1"/>
  <c r="D312" i="13"/>
  <c r="E312" i="13" s="1"/>
  <c r="D307" i="13"/>
  <c r="E307" i="13" s="1"/>
  <c r="D317" i="13"/>
  <c r="E317" i="13" s="1"/>
  <c r="D302" i="13"/>
  <c r="E302" i="13" s="1"/>
  <c r="D286" i="13"/>
  <c r="E286" i="13" s="1"/>
  <c r="D313" i="13"/>
  <c r="E313" i="13" s="1"/>
  <c r="D297" i="13"/>
  <c r="E297" i="13" s="1"/>
  <c r="D281" i="13"/>
  <c r="E281" i="13" s="1"/>
  <c r="D291" i="13"/>
  <c r="E291" i="13" s="1"/>
  <c r="D295" i="13"/>
  <c r="E295" i="13" s="1"/>
  <c r="D268" i="13"/>
  <c r="E268" i="13" s="1"/>
  <c r="D252" i="13"/>
  <c r="E252" i="13" s="1"/>
  <c r="D283" i="13"/>
  <c r="E283" i="13" s="1"/>
  <c r="D271" i="13"/>
  <c r="E271" i="13" s="1"/>
  <c r="D255" i="13"/>
  <c r="E255" i="13" s="1"/>
  <c r="D254" i="13"/>
  <c r="E254" i="13" s="1"/>
  <c r="D273" i="13"/>
  <c r="E273" i="13" s="1"/>
  <c r="D349" i="13"/>
  <c r="D350" i="13"/>
  <c r="D352" i="13"/>
  <c r="D336" i="13"/>
  <c r="E336" i="13" s="1"/>
  <c r="D343" i="13"/>
  <c r="E343" i="13" s="1"/>
  <c r="D341" i="13"/>
  <c r="E341" i="13" s="1"/>
  <c r="D330" i="13"/>
  <c r="E330" i="13" s="1"/>
  <c r="D337" i="13"/>
  <c r="E337" i="13" s="1"/>
  <c r="D321" i="13"/>
  <c r="E321" i="13" s="1"/>
  <c r="D324" i="13"/>
  <c r="E324" i="13" s="1"/>
  <c r="D303" i="13"/>
  <c r="E303" i="13" s="1"/>
  <c r="D314" i="13"/>
  <c r="E314" i="13" s="1"/>
  <c r="D298" i="13"/>
  <c r="E298" i="13" s="1"/>
  <c r="D282" i="13"/>
  <c r="E282" i="13" s="1"/>
  <c r="D309" i="13"/>
  <c r="E309" i="13" s="1"/>
  <c r="D293" i="13"/>
  <c r="E293" i="13" s="1"/>
  <c r="D300" i="13"/>
  <c r="E300" i="13" s="1"/>
  <c r="D288" i="13"/>
  <c r="E288" i="13" s="1"/>
  <c r="D292" i="13"/>
  <c r="E292" i="13" s="1"/>
  <c r="D264" i="13"/>
  <c r="E264" i="13" s="1"/>
  <c r="D304" i="13"/>
  <c r="E304" i="13" s="1"/>
  <c r="D280" i="13"/>
  <c r="E280" i="13" s="1"/>
  <c r="D267" i="13"/>
  <c r="E267" i="13" s="1"/>
  <c r="D251" i="13"/>
  <c r="E251" i="13" s="1"/>
  <c r="D257" i="13"/>
  <c r="E257" i="13" s="1"/>
  <c r="D258" i="13"/>
  <c r="E258" i="13" s="1"/>
  <c r="D348" i="13"/>
  <c r="E348" i="13" s="1"/>
  <c r="D339" i="13"/>
  <c r="E339" i="13" s="1"/>
  <c r="D326" i="13"/>
  <c r="E326" i="13" s="1"/>
  <c r="D323" i="13"/>
  <c r="E323" i="13" s="1"/>
  <c r="D327" i="13"/>
  <c r="E327" i="13" s="1"/>
  <c r="D294" i="13"/>
  <c r="E294" i="13" s="1"/>
  <c r="D305" i="13"/>
  <c r="E305" i="13" s="1"/>
  <c r="D287" i="13"/>
  <c r="E287" i="13" s="1"/>
  <c r="D276" i="13"/>
  <c r="E276" i="13" s="1"/>
  <c r="D299" i="13"/>
  <c r="E299" i="13" s="1"/>
  <c r="D263" i="13"/>
  <c r="E263" i="13" s="1"/>
  <c r="D261" i="13"/>
  <c r="E261" i="13" s="1"/>
  <c r="D344" i="13"/>
  <c r="E344" i="13" s="1"/>
  <c r="D335" i="13"/>
  <c r="E335" i="13" s="1"/>
  <c r="D342" i="13"/>
  <c r="E342" i="13" s="1"/>
  <c r="D329" i="13"/>
  <c r="E329" i="13" s="1"/>
  <c r="D311" i="13"/>
  <c r="E311" i="13" s="1"/>
  <c r="D306" i="13"/>
  <c r="E306" i="13" s="1"/>
  <c r="D320" i="13"/>
  <c r="E320" i="13" s="1"/>
  <c r="D285" i="13"/>
  <c r="E285" i="13" s="1"/>
  <c r="D308" i="13"/>
  <c r="E308" i="13" s="1"/>
  <c r="D256" i="13"/>
  <c r="E256" i="13" s="1"/>
  <c r="D275" i="13"/>
  <c r="E275" i="13" s="1"/>
  <c r="D270" i="13"/>
  <c r="E270" i="13" s="1"/>
  <c r="D346" i="13"/>
  <c r="E346" i="13" s="1"/>
  <c r="D332" i="13"/>
  <c r="E332" i="13" s="1"/>
  <c r="D338" i="13"/>
  <c r="E338" i="13" s="1"/>
  <c r="D334" i="13"/>
  <c r="E334" i="13" s="1"/>
  <c r="D315" i="13"/>
  <c r="E315" i="13" s="1"/>
  <c r="D310" i="13"/>
  <c r="E310" i="13" s="1"/>
  <c r="D328" i="13"/>
  <c r="E328" i="13" s="1"/>
  <c r="D289" i="13"/>
  <c r="E289" i="13" s="1"/>
  <c r="D277" i="13"/>
  <c r="E277" i="13" s="1"/>
  <c r="D260" i="13"/>
  <c r="E260" i="13" s="1"/>
  <c r="D279" i="13"/>
  <c r="E279" i="13" s="1"/>
  <c r="D248" i="13"/>
  <c r="E248" i="13" s="1"/>
  <c r="D351" i="13"/>
  <c r="D322" i="13"/>
  <c r="E322" i="13" s="1"/>
  <c r="D316" i="13"/>
  <c r="E316" i="13" s="1"/>
  <c r="D319" i="13"/>
  <c r="E319" i="13" s="1"/>
  <c r="D290" i="13"/>
  <c r="E290" i="13" s="1"/>
  <c r="D301" i="13"/>
  <c r="E301" i="13" s="1"/>
  <c r="D284" i="13"/>
  <c r="E284" i="13" s="1"/>
  <c r="D272" i="13"/>
  <c r="E272" i="13" s="1"/>
  <c r="D296" i="13"/>
  <c r="E296" i="13" s="1"/>
  <c r="D259" i="13"/>
  <c r="E259" i="13" s="1"/>
  <c r="O209" i="3"/>
  <c r="O212" i="3"/>
  <c r="O207" i="3"/>
  <c r="O203" i="3"/>
  <c r="O208" i="3"/>
  <c r="O213" i="3"/>
  <c r="O202" i="3"/>
  <c r="O217" i="3"/>
  <c r="O218" i="3"/>
  <c r="O219" i="3"/>
  <c r="O216" i="3"/>
  <c r="O214" i="3"/>
  <c r="O211" i="3"/>
  <c r="V209" i="3"/>
  <c r="V251" i="3"/>
  <c r="V208" i="3"/>
  <c r="V199" i="3"/>
  <c r="V272" i="3"/>
  <c r="V228" i="3"/>
  <c r="V230" i="3"/>
  <c r="V267" i="3"/>
  <c r="V205" i="3"/>
  <c r="V236" i="3"/>
  <c r="V202" i="3"/>
  <c r="V222" i="3"/>
  <c r="V242" i="3"/>
  <c r="V211" i="3"/>
  <c r="V249" i="3"/>
  <c r="V260" i="3"/>
  <c r="V240" i="3"/>
  <c r="V197" i="3"/>
  <c r="V204" i="3"/>
  <c r="V243" i="3"/>
  <c r="V273" i="3"/>
  <c r="V259" i="3"/>
  <c r="V221" i="3"/>
  <c r="V210" i="3"/>
  <c r="V241" i="3"/>
  <c r="V218" i="3"/>
  <c r="V266" i="3"/>
  <c r="V234" i="3"/>
  <c r="V219" i="3"/>
  <c r="V213" i="3"/>
  <c r="V206" i="3"/>
  <c r="V212" i="3"/>
  <c r="V203" i="3"/>
  <c r="V247" i="3"/>
  <c r="V239" i="3"/>
  <c r="V226" i="3"/>
  <c r="V216" i="3"/>
  <c r="V271" i="3"/>
  <c r="V264" i="3"/>
  <c r="V256" i="3"/>
  <c r="V250" i="3"/>
  <c r="V229" i="3"/>
  <c r="V276" i="3"/>
  <c r="V201" i="3"/>
  <c r="V200" i="3"/>
  <c r="V198" i="3"/>
  <c r="V207" i="3"/>
  <c r="V253" i="3"/>
  <c r="V245" i="3"/>
  <c r="V232" i="3"/>
  <c r="V224" i="3"/>
  <c r="V214" i="3"/>
  <c r="V268" i="3"/>
  <c r="V263" i="3"/>
  <c r="V255" i="3"/>
  <c r="V248" i="3"/>
  <c r="V227" i="3"/>
  <c r="V274" i="3"/>
  <c r="V262" i="3"/>
  <c r="V258" i="3"/>
  <c r="V254" i="3"/>
  <c r="V233" i="3"/>
  <c r="V246" i="3"/>
  <c r="V238" i="3"/>
  <c r="V225" i="3"/>
  <c r="V217" i="3"/>
  <c r="V269" i="3"/>
  <c r="V220" i="3"/>
  <c r="V275" i="3"/>
  <c r="V270" i="3"/>
  <c r="V265" i="3"/>
  <c r="V261" i="3"/>
  <c r="V257" i="3"/>
  <c r="V237" i="3"/>
  <c r="V252" i="3"/>
  <c r="V244" i="3"/>
  <c r="V231" i="3"/>
  <c r="V223" i="3"/>
  <c r="V215" i="3"/>
  <c r="D71" i="13"/>
  <c r="E71" i="13" s="1"/>
  <c r="G71" i="13" s="1"/>
  <c r="D29" i="13"/>
  <c r="E29" i="13" s="1"/>
  <c r="G29" i="13" s="1"/>
  <c r="D88" i="13"/>
  <c r="E88" i="13" s="1"/>
  <c r="G88" i="13" s="1"/>
  <c r="D114" i="13"/>
  <c r="D89" i="13"/>
  <c r="E89" i="13" s="1"/>
  <c r="G89" i="13" s="1"/>
  <c r="D70" i="13"/>
  <c r="E70" i="13" s="1"/>
  <c r="G70" i="13" s="1"/>
  <c r="D12" i="13"/>
  <c r="E12" i="13" s="1"/>
  <c r="D69" i="13"/>
  <c r="E69" i="13" s="1"/>
  <c r="G69" i="13" s="1"/>
  <c r="D43" i="13"/>
  <c r="E43" i="13" s="1"/>
  <c r="G43" i="13" s="1"/>
  <c r="D30" i="13"/>
  <c r="E30" i="13" s="1"/>
  <c r="D77" i="13"/>
  <c r="E77" i="13" s="1"/>
  <c r="G77" i="13" s="1"/>
  <c r="D82" i="13"/>
  <c r="E82" i="13" s="1"/>
  <c r="G82" i="13" s="1"/>
  <c r="D56" i="13"/>
  <c r="E56" i="13" s="1"/>
  <c r="G56" i="13" s="1"/>
  <c r="D28" i="13"/>
  <c r="E28" i="13" s="1"/>
  <c r="D79" i="13"/>
  <c r="E79" i="13" s="1"/>
  <c r="G79" i="13" s="1"/>
  <c r="D109" i="13"/>
  <c r="E109" i="13" s="1"/>
  <c r="G109" i="13" s="1"/>
  <c r="D50" i="13"/>
  <c r="E50" i="13" s="1"/>
  <c r="G50" i="13" s="1"/>
  <c r="D90" i="13"/>
  <c r="E90" i="13" s="1"/>
  <c r="G90" i="13" s="1"/>
  <c r="D27" i="13"/>
  <c r="E27" i="13" s="1"/>
  <c r="D64" i="13"/>
  <c r="E64" i="13" s="1"/>
  <c r="G64" i="13" s="1"/>
  <c r="D57" i="13"/>
  <c r="E57" i="13" s="1"/>
  <c r="G57" i="13" s="1"/>
  <c r="D44" i="13"/>
  <c r="E44" i="13" s="1"/>
  <c r="G44" i="13" s="1"/>
  <c r="D17" i="13"/>
  <c r="E17" i="13" s="1"/>
  <c r="D62" i="13"/>
  <c r="E62" i="13" s="1"/>
  <c r="G62" i="13" s="1"/>
  <c r="D106" i="13"/>
  <c r="E106" i="13" s="1"/>
  <c r="G106" i="13" s="1"/>
  <c r="D31" i="13"/>
  <c r="E31" i="13" s="1"/>
  <c r="D72" i="13"/>
  <c r="E72" i="13" s="1"/>
  <c r="G72" i="13" s="1"/>
  <c r="D112" i="13"/>
  <c r="D81" i="13"/>
  <c r="E81" i="13" s="1"/>
  <c r="G81" i="13" s="1"/>
  <c r="D14" i="13"/>
  <c r="E14" i="13" s="1"/>
  <c r="D55" i="13"/>
  <c r="E55" i="13" s="1"/>
  <c r="G55" i="13" s="1"/>
  <c r="D10" i="13"/>
  <c r="D45" i="13"/>
  <c r="E45" i="13" s="1"/>
  <c r="G45" i="13" s="1"/>
  <c r="D11" i="13"/>
  <c r="E11" i="13" s="1"/>
  <c r="D92" i="13"/>
  <c r="E92" i="13" s="1"/>
  <c r="G92" i="13" s="1"/>
  <c r="D13" i="13"/>
  <c r="E13" i="13" s="1"/>
  <c r="D34" i="13"/>
  <c r="E34" i="13" s="1"/>
  <c r="G34" i="13" s="1"/>
  <c r="D24" i="13"/>
  <c r="E24" i="13" s="1"/>
  <c r="D96" i="13"/>
  <c r="E96" i="13" s="1"/>
  <c r="G96" i="13" s="1"/>
  <c r="D25" i="13"/>
  <c r="E25" i="13" s="1"/>
  <c r="D47" i="13"/>
  <c r="E47" i="13" s="1"/>
  <c r="G47" i="13" s="1"/>
  <c r="D99" i="13"/>
  <c r="E99" i="13" s="1"/>
  <c r="G99" i="13" s="1"/>
  <c r="D36" i="13"/>
  <c r="E36" i="13" s="1"/>
  <c r="G36" i="13" s="1"/>
  <c r="D85" i="13"/>
  <c r="E85" i="13" s="1"/>
  <c r="G85" i="13" s="1"/>
  <c r="D37" i="13"/>
  <c r="E37" i="13" s="1"/>
  <c r="G37" i="13" s="1"/>
  <c r="D66" i="13"/>
  <c r="E66" i="13" s="1"/>
  <c r="G66" i="13" s="1"/>
  <c r="D98" i="13"/>
  <c r="E98" i="13" s="1"/>
  <c r="G98" i="13" s="1"/>
  <c r="D23" i="13"/>
  <c r="E23" i="13" s="1"/>
  <c r="G23" i="13" s="1"/>
  <c r="D48" i="13"/>
  <c r="E48" i="13" s="1"/>
  <c r="G48" i="13" s="1"/>
  <c r="D76" i="13"/>
  <c r="E76" i="13" s="1"/>
  <c r="G76" i="13" s="1"/>
  <c r="D108" i="13"/>
  <c r="E108" i="13" s="1"/>
  <c r="G108" i="13" s="1"/>
  <c r="D49" i="13"/>
  <c r="E49" i="13" s="1"/>
  <c r="G49" i="13" s="1"/>
  <c r="D97" i="13"/>
  <c r="E97" i="13" s="1"/>
  <c r="G97" i="13" s="1"/>
  <c r="D22" i="13"/>
  <c r="E22" i="13" s="1"/>
  <c r="D51" i="13"/>
  <c r="E51" i="13" s="1"/>
  <c r="G51" i="13" s="1"/>
  <c r="D95" i="13"/>
  <c r="E95" i="13" s="1"/>
  <c r="G95" i="13" s="1"/>
  <c r="D16" i="13"/>
  <c r="E16" i="13" s="1"/>
  <c r="D53" i="13"/>
  <c r="E53" i="13" s="1"/>
  <c r="G53" i="13" s="1"/>
  <c r="D101" i="13"/>
  <c r="E101" i="13" s="1"/>
  <c r="G101" i="13" s="1"/>
  <c r="D33" i="13"/>
  <c r="E33" i="13" s="1"/>
  <c r="G33" i="13" s="1"/>
  <c r="D54" i="13"/>
  <c r="E54" i="13" s="1"/>
  <c r="G54" i="13" s="1"/>
  <c r="D78" i="13"/>
  <c r="E78" i="13" s="1"/>
  <c r="G78" i="13" s="1"/>
  <c r="D102" i="13"/>
  <c r="E102" i="13" s="1"/>
  <c r="G102" i="13" s="1"/>
  <c r="D15" i="13"/>
  <c r="E15" i="13" s="1"/>
  <c r="D39" i="13"/>
  <c r="E39" i="13" s="1"/>
  <c r="G39" i="13" s="1"/>
  <c r="D60" i="13"/>
  <c r="E60" i="13" s="1"/>
  <c r="G60" i="13" s="1"/>
  <c r="D80" i="13"/>
  <c r="E80" i="13" s="1"/>
  <c r="G80" i="13" s="1"/>
  <c r="D104" i="13"/>
  <c r="E104" i="13" s="1"/>
  <c r="G104" i="13" s="1"/>
  <c r="D20" i="13"/>
  <c r="E20" i="13" s="1"/>
  <c r="G20" i="13" s="1"/>
  <c r="D65" i="13"/>
  <c r="E65" i="13" s="1"/>
  <c r="G65" i="13" s="1"/>
  <c r="D113" i="13"/>
  <c r="D18" i="13"/>
  <c r="E18" i="13" s="1"/>
  <c r="G18" i="13" s="1"/>
  <c r="D38" i="13"/>
  <c r="E38" i="13" s="1"/>
  <c r="G38" i="13" s="1"/>
  <c r="D63" i="13"/>
  <c r="E63" i="13" s="1"/>
  <c r="G63" i="13" s="1"/>
  <c r="D83" i="13"/>
  <c r="E83" i="13" s="1"/>
  <c r="G83" i="13" s="1"/>
  <c r="D103" i="13"/>
  <c r="E103" i="13" s="1"/>
  <c r="G103" i="13" s="1"/>
  <c r="D67" i="13"/>
  <c r="E67" i="13" s="1"/>
  <c r="G67" i="13" s="1"/>
  <c r="D87" i="13"/>
  <c r="E87" i="13" s="1"/>
  <c r="G87" i="13" s="1"/>
  <c r="D111" i="13"/>
  <c r="D32" i="13"/>
  <c r="E32" i="13" s="1"/>
  <c r="G32" i="13" s="1"/>
  <c r="D61" i="13"/>
  <c r="E61" i="13" s="1"/>
  <c r="G61" i="13" s="1"/>
  <c r="D93" i="13"/>
  <c r="E93" i="13" s="1"/>
  <c r="G93" i="13" s="1"/>
  <c r="D21" i="13"/>
  <c r="E21" i="13" s="1"/>
  <c r="G21" i="13" s="1"/>
  <c r="D41" i="13"/>
  <c r="E41" i="13" s="1"/>
  <c r="G41" i="13" s="1"/>
  <c r="D58" i="13"/>
  <c r="E58" i="13" s="1"/>
  <c r="G58" i="13" s="1"/>
  <c r="D74" i="13"/>
  <c r="E74" i="13" s="1"/>
  <c r="G74" i="13" s="1"/>
  <c r="D94" i="13"/>
  <c r="E94" i="13" s="1"/>
  <c r="G94" i="13" s="1"/>
  <c r="D110" i="13"/>
  <c r="E110" i="13" s="1"/>
  <c r="G110" i="13" s="1"/>
  <c r="D19" i="13"/>
  <c r="E19" i="13" s="1"/>
  <c r="G19" i="13" s="1"/>
  <c r="D35" i="13"/>
  <c r="E35" i="13" s="1"/>
  <c r="G35" i="13" s="1"/>
  <c r="D52" i="13"/>
  <c r="E52" i="13" s="1"/>
  <c r="G52" i="13" s="1"/>
  <c r="D68" i="13"/>
  <c r="E68" i="13" s="1"/>
  <c r="G68" i="13" s="1"/>
  <c r="D84" i="13"/>
  <c r="E84" i="13" s="1"/>
  <c r="G84" i="13" s="1"/>
  <c r="D100" i="13"/>
  <c r="E100" i="13" s="1"/>
  <c r="G100" i="13" s="1"/>
  <c r="D46" i="13"/>
  <c r="E46" i="13" s="1"/>
  <c r="G46" i="13" s="1"/>
  <c r="D40" i="13"/>
  <c r="E40" i="13" s="1"/>
  <c r="G40" i="13" s="1"/>
  <c r="D73" i="13"/>
  <c r="E73" i="13" s="1"/>
  <c r="G73" i="13" s="1"/>
  <c r="D105" i="13"/>
  <c r="E105" i="13" s="1"/>
  <c r="G105" i="13" s="1"/>
  <c r="D86" i="13"/>
  <c r="E86" i="13" s="1"/>
  <c r="G86" i="13" s="1"/>
  <c r="D26" i="13"/>
  <c r="E26" i="13" s="1"/>
  <c r="G26" i="13" s="1"/>
  <c r="D42" i="13"/>
  <c r="E42" i="13" s="1"/>
  <c r="G42" i="13" s="1"/>
  <c r="D59" i="13"/>
  <c r="E59" i="13" s="1"/>
  <c r="G59" i="13" s="1"/>
  <c r="D75" i="13"/>
  <c r="E75" i="13" s="1"/>
  <c r="G75" i="13" s="1"/>
  <c r="D91" i="13"/>
  <c r="E91" i="13" s="1"/>
  <c r="G91" i="13" s="1"/>
  <c r="F216" i="3"/>
  <c r="F219" i="3"/>
  <c r="F224" i="3"/>
  <c r="F227" i="3"/>
  <c r="F232" i="3"/>
  <c r="F235" i="3"/>
  <c r="F240" i="3"/>
  <c r="F243" i="3"/>
  <c r="F248" i="3"/>
  <c r="F251" i="3"/>
  <c r="F256" i="3"/>
  <c r="F262" i="3"/>
  <c r="F265" i="3"/>
  <c r="F270" i="3"/>
  <c r="F273" i="3"/>
  <c r="F214" i="3"/>
  <c r="F217" i="3"/>
  <c r="F222" i="3"/>
  <c r="F225" i="3"/>
  <c r="F230" i="3"/>
  <c r="F233" i="3"/>
  <c r="F238" i="3"/>
  <c r="F241" i="3"/>
  <c r="F246" i="3"/>
  <c r="F249" i="3"/>
  <c r="F254" i="3"/>
  <c r="F257" i="3"/>
  <c r="F260" i="3"/>
  <c r="F263" i="3"/>
  <c r="F268" i="3"/>
  <c r="F271" i="3"/>
  <c r="F276" i="3"/>
  <c r="F223" i="3"/>
  <c r="F228" i="3"/>
  <c r="F239" i="3"/>
  <c r="F244" i="3"/>
  <c r="F255" i="3"/>
  <c r="F261" i="3"/>
  <c r="F266" i="3"/>
  <c r="F220" i="3"/>
  <c r="F236" i="3"/>
  <c r="F247" i="3"/>
  <c r="F258" i="3"/>
  <c r="F269" i="3"/>
  <c r="F218" i="3"/>
  <c r="F229" i="3"/>
  <c r="F234" i="3"/>
  <c r="F245" i="3"/>
  <c r="F250" i="3"/>
  <c r="F267" i="3"/>
  <c r="F272" i="3"/>
  <c r="F215" i="3"/>
  <c r="F231" i="3"/>
  <c r="F252" i="3"/>
  <c r="F274" i="3"/>
  <c r="F221" i="3"/>
  <c r="F242" i="3"/>
  <c r="F264" i="3"/>
  <c r="F259" i="3"/>
  <c r="F226" i="3"/>
  <c r="F253" i="3"/>
  <c r="F275" i="3"/>
  <c r="F237" i="3"/>
  <c r="E10" i="13"/>
  <c r="F213" i="3"/>
  <c r="F209" i="3"/>
  <c r="F205" i="3"/>
  <c r="F201" i="3"/>
  <c r="F197" i="3"/>
  <c r="F208" i="3"/>
  <c r="F210" i="3"/>
  <c r="F206" i="3"/>
  <c r="F202" i="3"/>
  <c r="F198" i="3"/>
  <c r="F212" i="3"/>
  <c r="F204" i="3"/>
  <c r="F200" i="3"/>
  <c r="F207" i="3"/>
  <c r="F203" i="3"/>
  <c r="F211" i="3"/>
  <c r="F199" i="3"/>
  <c r="E112" i="13"/>
  <c r="G112" i="13" s="1"/>
  <c r="E111" i="13"/>
  <c r="G111" i="13" s="1"/>
  <c r="E114" i="13"/>
  <c r="G114" i="13" s="1"/>
  <c r="E113" i="13"/>
  <c r="G113" i="13" s="1"/>
  <c r="E107" i="13"/>
  <c r="G107" i="13" s="1"/>
  <c r="H89" i="14" l="1"/>
  <c r="H44" i="14"/>
  <c r="I85" i="14"/>
  <c r="I84" i="14"/>
  <c r="H134" i="14"/>
  <c r="I40" i="14"/>
  <c r="I39" i="14"/>
  <c r="I130" i="14"/>
  <c r="I129" i="14"/>
  <c r="J36" i="14"/>
  <c r="J37" i="14"/>
  <c r="K35" i="14"/>
  <c r="K125" i="14"/>
  <c r="J126" i="14"/>
  <c r="J127" i="14"/>
  <c r="K80" i="14"/>
  <c r="J82" i="14"/>
  <c r="J81" i="14"/>
  <c r="G272" i="13"/>
  <c r="M272" i="13"/>
  <c r="G319" i="13"/>
  <c r="M319" i="13"/>
  <c r="G248" i="13"/>
  <c r="M248" i="13"/>
  <c r="G289" i="13"/>
  <c r="M289" i="13"/>
  <c r="G334" i="13"/>
  <c r="M334" i="13"/>
  <c r="G270" i="13"/>
  <c r="M270" i="13"/>
  <c r="G285" i="13"/>
  <c r="M285" i="13"/>
  <c r="G329" i="13"/>
  <c r="M329" i="13"/>
  <c r="G261" i="13"/>
  <c r="M261" i="13"/>
  <c r="G287" i="13"/>
  <c r="M287" i="13"/>
  <c r="G323" i="13"/>
  <c r="M323" i="13"/>
  <c r="G258" i="13"/>
  <c r="M258" i="13"/>
  <c r="G280" i="13"/>
  <c r="M280" i="13"/>
  <c r="G288" i="13"/>
  <c r="M288" i="13"/>
  <c r="G282" i="13"/>
  <c r="M282" i="13"/>
  <c r="G324" i="13"/>
  <c r="M324" i="13"/>
  <c r="G341" i="13"/>
  <c r="M341" i="13"/>
  <c r="G255" i="13"/>
  <c r="M255" i="13"/>
  <c r="G268" i="13"/>
  <c r="M268" i="13"/>
  <c r="G297" i="13"/>
  <c r="M297" i="13"/>
  <c r="G317" i="13"/>
  <c r="M317" i="13"/>
  <c r="G318" i="13"/>
  <c r="M318" i="13"/>
  <c r="G340" i="13"/>
  <c r="M340" i="13"/>
  <c r="G253" i="13"/>
  <c r="M253" i="13"/>
  <c r="G249" i="13"/>
  <c r="M249" i="13"/>
  <c r="G146" i="13"/>
  <c r="M146" i="13"/>
  <c r="G188" i="13"/>
  <c r="M188" i="13"/>
  <c r="G217" i="13"/>
  <c r="M217" i="13"/>
  <c r="G150" i="13"/>
  <c r="M150" i="13"/>
  <c r="G176" i="13"/>
  <c r="M176" i="13"/>
  <c r="G220" i="13"/>
  <c r="M220" i="13"/>
  <c r="G130" i="13"/>
  <c r="M130" i="13"/>
  <c r="G172" i="13"/>
  <c r="M172" i="13"/>
  <c r="G215" i="13"/>
  <c r="M215" i="13"/>
  <c r="G134" i="13"/>
  <c r="M134" i="13"/>
  <c r="G160" i="13"/>
  <c r="M160" i="13"/>
  <c r="G214" i="13"/>
  <c r="M214" i="13"/>
  <c r="G149" i="13"/>
  <c r="M149" i="13"/>
  <c r="G177" i="13"/>
  <c r="M177" i="13"/>
  <c r="G175" i="13"/>
  <c r="M175" i="13"/>
  <c r="G193" i="13"/>
  <c r="M193" i="13"/>
  <c r="G212" i="13"/>
  <c r="M212" i="13"/>
  <c r="G225" i="13"/>
  <c r="M225" i="13"/>
  <c r="G204" i="13"/>
  <c r="M204" i="13"/>
  <c r="G178" i="13"/>
  <c r="M178" i="13"/>
  <c r="G166" i="13"/>
  <c r="M166" i="13"/>
  <c r="G196" i="13"/>
  <c r="M196" i="13"/>
  <c r="G189" i="13"/>
  <c r="M189" i="13"/>
  <c r="G206" i="13"/>
  <c r="M206" i="13"/>
  <c r="G226" i="13"/>
  <c r="M226" i="13"/>
  <c r="E144" i="13"/>
  <c r="G144" i="13" s="1"/>
  <c r="G351" i="13"/>
  <c r="M351" i="13"/>
  <c r="G233" i="13"/>
  <c r="M233" i="13"/>
  <c r="G284" i="13"/>
  <c r="M284" i="13"/>
  <c r="G316" i="13"/>
  <c r="M316" i="13"/>
  <c r="G279" i="13"/>
  <c r="M279" i="13"/>
  <c r="G328" i="13"/>
  <c r="M328" i="13"/>
  <c r="G338" i="13"/>
  <c r="M338" i="13"/>
  <c r="G275" i="13"/>
  <c r="M275" i="13"/>
  <c r="G320" i="13"/>
  <c r="M320" i="13"/>
  <c r="G342" i="13"/>
  <c r="M342" i="13"/>
  <c r="G263" i="13"/>
  <c r="M263" i="13"/>
  <c r="G305" i="13"/>
  <c r="M305" i="13"/>
  <c r="G326" i="13"/>
  <c r="M326" i="13"/>
  <c r="G257" i="13"/>
  <c r="M257" i="13"/>
  <c r="G304" i="13"/>
  <c r="M304" i="13"/>
  <c r="G300" i="13"/>
  <c r="M300" i="13"/>
  <c r="G298" i="13"/>
  <c r="M298" i="13"/>
  <c r="G321" i="13"/>
  <c r="M321" i="13"/>
  <c r="G343" i="13"/>
  <c r="M343" i="13"/>
  <c r="G271" i="13"/>
  <c r="M271" i="13"/>
  <c r="G295" i="13"/>
  <c r="M295" i="13"/>
  <c r="G313" i="13"/>
  <c r="M313" i="13"/>
  <c r="G307" i="13"/>
  <c r="M307" i="13"/>
  <c r="G333" i="13"/>
  <c r="M333" i="13"/>
  <c r="G345" i="13"/>
  <c r="M345" i="13"/>
  <c r="E266" i="13"/>
  <c r="G266" i="13" s="1"/>
  <c r="G262" i="13"/>
  <c r="M262" i="13"/>
  <c r="G151" i="13"/>
  <c r="M151" i="13"/>
  <c r="G195" i="13"/>
  <c r="M195" i="13"/>
  <c r="G155" i="13"/>
  <c r="M155" i="13"/>
  <c r="G181" i="13"/>
  <c r="M181" i="13"/>
  <c r="G218" i="13"/>
  <c r="M218" i="13"/>
  <c r="G161" i="13"/>
  <c r="M161" i="13"/>
  <c r="G211" i="13"/>
  <c r="M211" i="13"/>
  <c r="G169" i="13"/>
  <c r="M169" i="13"/>
  <c r="G192" i="13"/>
  <c r="M192" i="13"/>
  <c r="G221" i="13"/>
  <c r="M221" i="13"/>
  <c r="G170" i="13"/>
  <c r="M170" i="13"/>
  <c r="G159" i="13"/>
  <c r="M159" i="13"/>
  <c r="G191" i="13"/>
  <c r="M191" i="13"/>
  <c r="G185" i="13"/>
  <c r="M185" i="13"/>
  <c r="G202" i="13"/>
  <c r="M202" i="13"/>
  <c r="G222" i="13"/>
  <c r="M222" i="13"/>
  <c r="G140" i="13"/>
  <c r="M140" i="13"/>
  <c r="G142" i="13"/>
  <c r="M142" i="13"/>
  <c r="G156" i="13"/>
  <c r="M156" i="13"/>
  <c r="G168" i="13"/>
  <c r="M168" i="13"/>
  <c r="G190" i="13"/>
  <c r="M190" i="13"/>
  <c r="G216" i="13"/>
  <c r="M216" i="13"/>
  <c r="G227" i="13"/>
  <c r="M227" i="13"/>
  <c r="G136" i="13"/>
  <c r="M136" i="13"/>
  <c r="G350" i="13"/>
  <c r="M350" i="13"/>
  <c r="G231" i="13"/>
  <c r="M231" i="13"/>
  <c r="G259" i="13"/>
  <c r="M259" i="13"/>
  <c r="G301" i="13"/>
  <c r="M301" i="13"/>
  <c r="G322" i="13"/>
  <c r="M322" i="13"/>
  <c r="G260" i="13"/>
  <c r="M260" i="13"/>
  <c r="G310" i="13"/>
  <c r="M310" i="13"/>
  <c r="G332" i="13"/>
  <c r="M332" i="13"/>
  <c r="G256" i="13"/>
  <c r="M256" i="13"/>
  <c r="G306" i="13"/>
  <c r="M306" i="13"/>
  <c r="G335" i="13"/>
  <c r="M335" i="13"/>
  <c r="G299" i="13"/>
  <c r="M299" i="13"/>
  <c r="G294" i="13"/>
  <c r="M294" i="13"/>
  <c r="G339" i="13"/>
  <c r="M339" i="13"/>
  <c r="G251" i="13"/>
  <c r="M251" i="13"/>
  <c r="G264" i="13"/>
  <c r="M264" i="13"/>
  <c r="G293" i="13"/>
  <c r="M293" i="13"/>
  <c r="G314" i="13"/>
  <c r="M314" i="13"/>
  <c r="G337" i="13"/>
  <c r="M337" i="13"/>
  <c r="G336" i="13"/>
  <c r="M336" i="13"/>
  <c r="G273" i="13"/>
  <c r="M273" i="13"/>
  <c r="G283" i="13"/>
  <c r="M283" i="13"/>
  <c r="G291" i="13"/>
  <c r="M291" i="13"/>
  <c r="G286" i="13"/>
  <c r="M286" i="13"/>
  <c r="G312" i="13"/>
  <c r="M312" i="13"/>
  <c r="G331" i="13"/>
  <c r="M331" i="13"/>
  <c r="G274" i="13"/>
  <c r="M274" i="13"/>
  <c r="G269" i="13"/>
  <c r="M269" i="13"/>
  <c r="G265" i="13"/>
  <c r="M265" i="13"/>
  <c r="G165" i="13"/>
  <c r="M165" i="13"/>
  <c r="G205" i="13"/>
  <c r="M205" i="13"/>
  <c r="G129" i="13"/>
  <c r="M129" i="13"/>
  <c r="G173" i="13"/>
  <c r="M173" i="13"/>
  <c r="G207" i="13"/>
  <c r="M207" i="13"/>
  <c r="G219" i="13"/>
  <c r="M219" i="13"/>
  <c r="G174" i="13"/>
  <c r="M174" i="13"/>
  <c r="G199" i="13"/>
  <c r="M199" i="13"/>
  <c r="G182" i="13"/>
  <c r="M182" i="13"/>
  <c r="G200" i="13"/>
  <c r="M200" i="13"/>
  <c r="G143" i="13"/>
  <c r="M143" i="13"/>
  <c r="G138" i="13"/>
  <c r="M138" i="13"/>
  <c r="G152" i="13"/>
  <c r="M152" i="13"/>
  <c r="G164" i="13"/>
  <c r="M164" i="13"/>
  <c r="G208" i="13"/>
  <c r="M208" i="13"/>
  <c r="G228" i="13"/>
  <c r="M228" i="13"/>
  <c r="G223" i="13"/>
  <c r="M223" i="13"/>
  <c r="G137" i="13"/>
  <c r="M137" i="13"/>
  <c r="G158" i="13"/>
  <c r="M158" i="13"/>
  <c r="G163" i="13"/>
  <c r="M163" i="13"/>
  <c r="G184" i="13"/>
  <c r="M184" i="13"/>
  <c r="G201" i="13"/>
  <c r="M201" i="13"/>
  <c r="G213" i="13"/>
  <c r="M213" i="13"/>
  <c r="E132" i="13"/>
  <c r="G132" i="13" s="1"/>
  <c r="G139" i="13"/>
  <c r="M139" i="13"/>
  <c r="G349" i="13"/>
  <c r="M349" i="13"/>
  <c r="G230" i="13"/>
  <c r="M230" i="13"/>
  <c r="G296" i="13"/>
  <c r="M296" i="13"/>
  <c r="G290" i="13"/>
  <c r="M290" i="13"/>
  <c r="G277" i="13"/>
  <c r="M277" i="13"/>
  <c r="G315" i="13"/>
  <c r="M315" i="13"/>
  <c r="G346" i="13"/>
  <c r="M346" i="13"/>
  <c r="G308" i="13"/>
  <c r="M308" i="13"/>
  <c r="G311" i="13"/>
  <c r="M311" i="13"/>
  <c r="G344" i="13"/>
  <c r="M344" i="13"/>
  <c r="G276" i="13"/>
  <c r="M276" i="13"/>
  <c r="G327" i="13"/>
  <c r="M327" i="13"/>
  <c r="G348" i="13"/>
  <c r="M348" i="13"/>
  <c r="G267" i="13"/>
  <c r="M267" i="13"/>
  <c r="G292" i="13"/>
  <c r="M292" i="13"/>
  <c r="G309" i="13"/>
  <c r="M309" i="13"/>
  <c r="G303" i="13"/>
  <c r="M303" i="13"/>
  <c r="G330" i="13"/>
  <c r="M330" i="13"/>
  <c r="G254" i="13"/>
  <c r="M254" i="13"/>
  <c r="G252" i="13"/>
  <c r="M252" i="13"/>
  <c r="G281" i="13"/>
  <c r="M281" i="13"/>
  <c r="G302" i="13"/>
  <c r="M302" i="13"/>
  <c r="G325" i="13"/>
  <c r="M325" i="13"/>
  <c r="G347" i="13"/>
  <c r="M347" i="13"/>
  <c r="G250" i="13"/>
  <c r="M250" i="13"/>
  <c r="G278" i="13"/>
  <c r="M278" i="13"/>
  <c r="G157" i="13"/>
  <c r="M157" i="13"/>
  <c r="G183" i="13"/>
  <c r="M183" i="13"/>
  <c r="G210" i="13"/>
  <c r="M210" i="13"/>
  <c r="G162" i="13"/>
  <c r="M162" i="13"/>
  <c r="G187" i="13"/>
  <c r="M187" i="13"/>
  <c r="G198" i="13"/>
  <c r="M198" i="13"/>
  <c r="G131" i="13"/>
  <c r="M131" i="13"/>
  <c r="G167" i="13"/>
  <c r="M167" i="13"/>
  <c r="G194" i="13"/>
  <c r="M194" i="13"/>
  <c r="G145" i="13"/>
  <c r="M145" i="13"/>
  <c r="G171" i="13"/>
  <c r="M171" i="13"/>
  <c r="G209" i="13"/>
  <c r="M209" i="13"/>
  <c r="G133" i="13"/>
  <c r="M133" i="13"/>
  <c r="G154" i="13"/>
  <c r="M154" i="13"/>
  <c r="G186" i="13"/>
  <c r="M186" i="13"/>
  <c r="G180" i="13"/>
  <c r="M180" i="13"/>
  <c r="G197" i="13"/>
  <c r="M197" i="13"/>
  <c r="G141" i="13"/>
  <c r="M141" i="13"/>
  <c r="G153" i="13"/>
  <c r="M153" i="13"/>
  <c r="G147" i="13"/>
  <c r="M147" i="13"/>
  <c r="G179" i="13"/>
  <c r="M179" i="13"/>
  <c r="G203" i="13"/>
  <c r="M203" i="13"/>
  <c r="G224" i="13"/>
  <c r="M224" i="13"/>
  <c r="G229" i="13"/>
  <c r="M229" i="13"/>
  <c r="G148" i="13"/>
  <c r="M148" i="13"/>
  <c r="G135" i="13"/>
  <c r="M135" i="13"/>
  <c r="G352" i="13"/>
  <c r="M352" i="13"/>
  <c r="M232" i="13"/>
  <c r="G232" i="13"/>
  <c r="M27" i="13"/>
  <c r="G27" i="13"/>
  <c r="H27" i="13" s="1"/>
  <c r="M12" i="13"/>
  <c r="G12" i="13"/>
  <c r="H12" i="13" s="1"/>
  <c r="M11" i="13"/>
  <c r="G11" i="13"/>
  <c r="O11" i="13" s="1"/>
  <c r="M31" i="13"/>
  <c r="G31" i="13"/>
  <c r="H31" i="13" s="1"/>
  <c r="M16" i="13"/>
  <c r="G16" i="13"/>
  <c r="O16" i="13" s="1"/>
  <c r="M17" i="13"/>
  <c r="G17" i="13"/>
  <c r="O17" i="13" s="1"/>
  <c r="M22" i="13"/>
  <c r="G22" i="13"/>
  <c r="O22" i="13" s="1"/>
  <c r="M24" i="13"/>
  <c r="G24" i="13"/>
  <c r="O24" i="13" s="1"/>
  <c r="M14" i="13"/>
  <c r="G14" i="13"/>
  <c r="O14" i="13" s="1"/>
  <c r="M28" i="13"/>
  <c r="G28" i="13"/>
  <c r="O28" i="13" s="1"/>
  <c r="M30" i="13"/>
  <c r="G30" i="13"/>
  <c r="O30" i="13" s="1"/>
  <c r="M10" i="13"/>
  <c r="G10" i="13"/>
  <c r="H10" i="13" s="1"/>
  <c r="M15" i="13"/>
  <c r="G15" i="13"/>
  <c r="O15" i="13" s="1"/>
  <c r="M25" i="13"/>
  <c r="G25" i="13"/>
  <c r="H25" i="13" s="1"/>
  <c r="M13" i="13"/>
  <c r="G13" i="13"/>
  <c r="H13" i="13" s="1"/>
  <c r="M23" i="13"/>
  <c r="H23" i="13"/>
  <c r="O20" i="13"/>
  <c r="M20" i="13"/>
  <c r="M19" i="13"/>
  <c r="H19" i="13"/>
  <c r="M26" i="13"/>
  <c r="O26" i="13"/>
  <c r="M18" i="13"/>
  <c r="H18" i="13"/>
  <c r="M29" i="13"/>
  <c r="M21" i="13"/>
  <c r="H21" i="13"/>
  <c r="G226" i="3"/>
  <c r="L226" i="3" s="1"/>
  <c r="U226" i="3" s="1"/>
  <c r="K226" i="3"/>
  <c r="T226" i="3" s="1"/>
  <c r="B226" i="3"/>
  <c r="E226" i="3"/>
  <c r="J226" i="3" s="1"/>
  <c r="S226" i="3" s="1"/>
  <c r="B221" i="3"/>
  <c r="G221" i="3"/>
  <c r="L221" i="3" s="1"/>
  <c r="U221" i="3" s="1"/>
  <c r="K221" i="3"/>
  <c r="T221" i="3" s="1"/>
  <c r="E221" i="3"/>
  <c r="J221" i="3" s="1"/>
  <c r="S221" i="3" s="1"/>
  <c r="K215" i="3"/>
  <c r="T215" i="3" s="1"/>
  <c r="E215" i="3"/>
  <c r="J215" i="3" s="1"/>
  <c r="S215" i="3" s="1"/>
  <c r="B215" i="3"/>
  <c r="G215" i="3"/>
  <c r="L215" i="3" s="1"/>
  <c r="U215" i="3" s="1"/>
  <c r="B245" i="3"/>
  <c r="G245" i="3"/>
  <c r="L245" i="3" s="1"/>
  <c r="U245" i="3" s="1"/>
  <c r="K245" i="3"/>
  <c r="T245" i="3" s="1"/>
  <c r="E245" i="3"/>
  <c r="J245" i="3" s="1"/>
  <c r="S245" i="3" s="1"/>
  <c r="E269" i="3"/>
  <c r="J269" i="3" s="1"/>
  <c r="K269" i="3"/>
  <c r="G269" i="3"/>
  <c r="L269" i="3" s="1"/>
  <c r="B269" i="3"/>
  <c r="G220" i="3"/>
  <c r="L220" i="3" s="1"/>
  <c r="U220" i="3" s="1"/>
  <c r="K220" i="3"/>
  <c r="T220" i="3" s="1"/>
  <c r="E220" i="3"/>
  <c r="J220" i="3" s="1"/>
  <c r="S220" i="3" s="1"/>
  <c r="B220" i="3"/>
  <c r="G244" i="3"/>
  <c r="L244" i="3" s="1"/>
  <c r="U244" i="3" s="1"/>
  <c r="B244" i="3"/>
  <c r="K244" i="3"/>
  <c r="T244" i="3" s="1"/>
  <c r="E244" i="3"/>
  <c r="J244" i="3" s="1"/>
  <c r="S244" i="3" s="1"/>
  <c r="G276" i="3"/>
  <c r="L276" i="3" s="1"/>
  <c r="B276" i="3"/>
  <c r="K276" i="3"/>
  <c r="E276" i="3"/>
  <c r="J276" i="3" s="1"/>
  <c r="G260" i="3"/>
  <c r="L260" i="3" s="1"/>
  <c r="B260" i="3"/>
  <c r="K260" i="3"/>
  <c r="E260" i="3"/>
  <c r="J260" i="3" s="1"/>
  <c r="G246" i="3"/>
  <c r="L246" i="3" s="1"/>
  <c r="U246" i="3" s="1"/>
  <c r="K246" i="3"/>
  <c r="T246" i="3" s="1"/>
  <c r="B246" i="3"/>
  <c r="E246" i="3"/>
  <c r="J246" i="3" s="1"/>
  <c r="S246" i="3" s="1"/>
  <c r="G230" i="3"/>
  <c r="L230" i="3" s="1"/>
  <c r="U230" i="3" s="1"/>
  <c r="K230" i="3"/>
  <c r="T230" i="3" s="1"/>
  <c r="B230" i="3"/>
  <c r="E230" i="3"/>
  <c r="J230" i="3" s="1"/>
  <c r="S230" i="3" s="1"/>
  <c r="G214" i="3"/>
  <c r="L214" i="3" s="1"/>
  <c r="U214" i="3" s="1"/>
  <c r="K214" i="3"/>
  <c r="T214" i="3" s="1"/>
  <c r="B214" i="3"/>
  <c r="E214" i="3"/>
  <c r="J214" i="3" s="1"/>
  <c r="S214" i="3" s="1"/>
  <c r="G262" i="3"/>
  <c r="L262" i="3" s="1"/>
  <c r="K262" i="3"/>
  <c r="B262" i="3"/>
  <c r="E262" i="3"/>
  <c r="J262" i="3" s="1"/>
  <c r="K243" i="3"/>
  <c r="T243" i="3" s="1"/>
  <c r="B243" i="3"/>
  <c r="G243" i="3"/>
  <c r="L243" i="3" s="1"/>
  <c r="U243" i="3" s="1"/>
  <c r="E243" i="3"/>
  <c r="J243" i="3" s="1"/>
  <c r="S243" i="3" s="1"/>
  <c r="K227" i="3"/>
  <c r="T227" i="3" s="1"/>
  <c r="B227" i="3"/>
  <c r="G227" i="3"/>
  <c r="L227" i="3" s="1"/>
  <c r="U227" i="3" s="1"/>
  <c r="E227" i="3"/>
  <c r="J227" i="3" s="1"/>
  <c r="S227" i="3" s="1"/>
  <c r="B237" i="3"/>
  <c r="G237" i="3"/>
  <c r="L237" i="3" s="1"/>
  <c r="U237" i="3" s="1"/>
  <c r="E237" i="3"/>
  <c r="J237" i="3" s="1"/>
  <c r="S237" i="3" s="1"/>
  <c r="K237" i="3"/>
  <c r="T237" i="3" s="1"/>
  <c r="K259" i="3"/>
  <c r="G259" i="3"/>
  <c r="L259" i="3" s="1"/>
  <c r="B259" i="3"/>
  <c r="E259" i="3"/>
  <c r="J259" i="3" s="1"/>
  <c r="G274" i="3"/>
  <c r="L274" i="3" s="1"/>
  <c r="K274" i="3"/>
  <c r="B274" i="3"/>
  <c r="E274" i="3"/>
  <c r="J274" i="3" s="1"/>
  <c r="G272" i="3"/>
  <c r="L272" i="3" s="1"/>
  <c r="B272" i="3"/>
  <c r="E272" i="3"/>
  <c r="J272" i="3" s="1"/>
  <c r="K272" i="3"/>
  <c r="G234" i="3"/>
  <c r="L234" i="3" s="1"/>
  <c r="U234" i="3" s="1"/>
  <c r="K234" i="3"/>
  <c r="T234" i="3" s="1"/>
  <c r="B234" i="3"/>
  <c r="E234" i="3"/>
  <c r="J234" i="3" s="1"/>
  <c r="S234" i="3" s="1"/>
  <c r="G258" i="3"/>
  <c r="L258" i="3" s="1"/>
  <c r="K258" i="3"/>
  <c r="B258" i="3"/>
  <c r="E258" i="3"/>
  <c r="J258" i="3" s="1"/>
  <c r="G266" i="3"/>
  <c r="L266" i="3" s="1"/>
  <c r="K266" i="3"/>
  <c r="B266" i="3"/>
  <c r="E266" i="3"/>
  <c r="J266" i="3" s="1"/>
  <c r="K239" i="3"/>
  <c r="T239" i="3" s="1"/>
  <c r="B239" i="3"/>
  <c r="G239" i="3"/>
  <c r="L239" i="3" s="1"/>
  <c r="U239" i="3" s="1"/>
  <c r="E239" i="3"/>
  <c r="J239" i="3" s="1"/>
  <c r="S239" i="3" s="1"/>
  <c r="K271" i="3"/>
  <c r="B271" i="3"/>
  <c r="G271" i="3"/>
  <c r="L271" i="3" s="1"/>
  <c r="E271" i="3"/>
  <c r="J271" i="3" s="1"/>
  <c r="E257" i="3"/>
  <c r="J257" i="3" s="1"/>
  <c r="K257" i="3"/>
  <c r="B257" i="3"/>
  <c r="G257" i="3"/>
  <c r="L257" i="3" s="1"/>
  <c r="B241" i="3"/>
  <c r="K241" i="3"/>
  <c r="T241" i="3" s="1"/>
  <c r="E241" i="3"/>
  <c r="J241" i="3" s="1"/>
  <c r="S241" i="3" s="1"/>
  <c r="G241" i="3"/>
  <c r="L241" i="3" s="1"/>
  <c r="U241" i="3" s="1"/>
  <c r="B225" i="3"/>
  <c r="K225" i="3"/>
  <c r="T225" i="3" s="1"/>
  <c r="E225" i="3"/>
  <c r="J225" i="3" s="1"/>
  <c r="S225" i="3" s="1"/>
  <c r="G225" i="3"/>
  <c r="L225" i="3" s="1"/>
  <c r="U225" i="3" s="1"/>
  <c r="E273" i="3"/>
  <c r="J273" i="3" s="1"/>
  <c r="G273" i="3"/>
  <c r="L273" i="3" s="1"/>
  <c r="K273" i="3"/>
  <c r="B273" i="3"/>
  <c r="G256" i="3"/>
  <c r="L256" i="3" s="1"/>
  <c r="U256" i="3" s="1"/>
  <c r="B256" i="3"/>
  <c r="E256" i="3"/>
  <c r="J256" i="3" s="1"/>
  <c r="S256" i="3" s="1"/>
  <c r="K256" i="3"/>
  <c r="T256" i="3" s="1"/>
  <c r="G240" i="3"/>
  <c r="L240" i="3" s="1"/>
  <c r="U240" i="3" s="1"/>
  <c r="B240" i="3"/>
  <c r="K240" i="3"/>
  <c r="T240" i="3" s="1"/>
  <c r="E240" i="3"/>
  <c r="J240" i="3" s="1"/>
  <c r="S240" i="3" s="1"/>
  <c r="G224" i="3"/>
  <c r="L224" i="3" s="1"/>
  <c r="U224" i="3" s="1"/>
  <c r="E224" i="3"/>
  <c r="J224" i="3" s="1"/>
  <c r="S224" i="3" s="1"/>
  <c r="B224" i="3"/>
  <c r="K224" i="3"/>
  <c r="T224" i="3" s="1"/>
  <c r="K275" i="3"/>
  <c r="G275" i="3"/>
  <c r="L275" i="3" s="1"/>
  <c r="B275" i="3"/>
  <c r="E275" i="3"/>
  <c r="J275" i="3" s="1"/>
  <c r="G264" i="3"/>
  <c r="L264" i="3" s="1"/>
  <c r="B264" i="3"/>
  <c r="K264" i="3"/>
  <c r="E264" i="3"/>
  <c r="J264" i="3" s="1"/>
  <c r="G252" i="3"/>
  <c r="L252" i="3" s="1"/>
  <c r="U252" i="3" s="1"/>
  <c r="E252" i="3"/>
  <c r="J252" i="3" s="1"/>
  <c r="S252" i="3" s="1"/>
  <c r="K252" i="3"/>
  <c r="T252" i="3" s="1"/>
  <c r="B252" i="3"/>
  <c r="K267" i="3"/>
  <c r="G267" i="3"/>
  <c r="L267" i="3" s="1"/>
  <c r="B267" i="3"/>
  <c r="E267" i="3"/>
  <c r="J267" i="3" s="1"/>
  <c r="B229" i="3"/>
  <c r="G229" i="3"/>
  <c r="L229" i="3" s="1"/>
  <c r="U229" i="3" s="1"/>
  <c r="K229" i="3"/>
  <c r="T229" i="3" s="1"/>
  <c r="E229" i="3"/>
  <c r="J229" i="3" s="1"/>
  <c r="S229" i="3" s="1"/>
  <c r="K247" i="3"/>
  <c r="T247" i="3" s="1"/>
  <c r="E247" i="3"/>
  <c r="J247" i="3" s="1"/>
  <c r="S247" i="3" s="1"/>
  <c r="B247" i="3"/>
  <c r="G247" i="3"/>
  <c r="L247" i="3" s="1"/>
  <c r="U247" i="3" s="1"/>
  <c r="E261" i="3"/>
  <c r="J261" i="3" s="1"/>
  <c r="G261" i="3"/>
  <c r="L261" i="3" s="1"/>
  <c r="K261" i="3"/>
  <c r="B261" i="3"/>
  <c r="G228" i="3"/>
  <c r="L228" i="3" s="1"/>
  <c r="U228" i="3" s="1"/>
  <c r="B228" i="3"/>
  <c r="E228" i="3"/>
  <c r="J228" i="3" s="1"/>
  <c r="S228" i="3" s="1"/>
  <c r="K228" i="3"/>
  <c r="T228" i="3" s="1"/>
  <c r="G268" i="3"/>
  <c r="L268" i="3" s="1"/>
  <c r="K268" i="3"/>
  <c r="B268" i="3"/>
  <c r="E268" i="3"/>
  <c r="J268" i="3" s="1"/>
  <c r="G254" i="3"/>
  <c r="L254" i="3" s="1"/>
  <c r="U254" i="3" s="1"/>
  <c r="B254" i="3"/>
  <c r="K254" i="3"/>
  <c r="T254" i="3" s="1"/>
  <c r="E254" i="3"/>
  <c r="J254" i="3" s="1"/>
  <c r="S254" i="3" s="1"/>
  <c r="G238" i="3"/>
  <c r="L238" i="3" s="1"/>
  <c r="U238" i="3" s="1"/>
  <c r="B238" i="3"/>
  <c r="K238" i="3"/>
  <c r="T238" i="3" s="1"/>
  <c r="E238" i="3"/>
  <c r="J238" i="3" s="1"/>
  <c r="S238" i="3" s="1"/>
  <c r="G222" i="3"/>
  <c r="L222" i="3" s="1"/>
  <c r="U222" i="3" s="1"/>
  <c r="B222" i="3"/>
  <c r="K222" i="3"/>
  <c r="T222" i="3" s="1"/>
  <c r="E222" i="3"/>
  <c r="J222" i="3" s="1"/>
  <c r="S222" i="3" s="1"/>
  <c r="G270" i="3"/>
  <c r="L270" i="3" s="1"/>
  <c r="B270" i="3"/>
  <c r="K270" i="3"/>
  <c r="E270" i="3"/>
  <c r="J270" i="3" s="1"/>
  <c r="K251" i="3"/>
  <c r="T251" i="3" s="1"/>
  <c r="G251" i="3"/>
  <c r="L251" i="3" s="1"/>
  <c r="U251" i="3" s="1"/>
  <c r="B251" i="3"/>
  <c r="E251" i="3"/>
  <c r="J251" i="3" s="1"/>
  <c r="S251" i="3" s="1"/>
  <c r="K235" i="3"/>
  <c r="T235" i="3" s="1"/>
  <c r="G235" i="3"/>
  <c r="L235" i="3" s="1"/>
  <c r="U235" i="3" s="1"/>
  <c r="B235" i="3"/>
  <c r="E235" i="3"/>
  <c r="J235" i="3" s="1"/>
  <c r="S235" i="3" s="1"/>
  <c r="K219" i="3"/>
  <c r="T219" i="3" s="1"/>
  <c r="G219" i="3"/>
  <c r="L219" i="3" s="1"/>
  <c r="U219" i="3" s="1"/>
  <c r="E219" i="3"/>
  <c r="J219" i="3" s="1"/>
  <c r="S219" i="3" s="1"/>
  <c r="B219" i="3"/>
  <c r="B253" i="3"/>
  <c r="G253" i="3"/>
  <c r="L253" i="3" s="1"/>
  <c r="U253" i="3" s="1"/>
  <c r="E253" i="3"/>
  <c r="J253" i="3" s="1"/>
  <c r="S253" i="3" s="1"/>
  <c r="K253" i="3"/>
  <c r="T253" i="3" s="1"/>
  <c r="G242" i="3"/>
  <c r="L242" i="3" s="1"/>
  <c r="U242" i="3" s="1"/>
  <c r="K242" i="3"/>
  <c r="T242" i="3" s="1"/>
  <c r="B242" i="3"/>
  <c r="E242" i="3"/>
  <c r="J242" i="3" s="1"/>
  <c r="S242" i="3" s="1"/>
  <c r="K231" i="3"/>
  <c r="T231" i="3" s="1"/>
  <c r="E231" i="3"/>
  <c r="J231" i="3" s="1"/>
  <c r="S231" i="3" s="1"/>
  <c r="B231" i="3"/>
  <c r="G231" i="3"/>
  <c r="L231" i="3" s="1"/>
  <c r="U231" i="3" s="1"/>
  <c r="G250" i="3"/>
  <c r="L250" i="3" s="1"/>
  <c r="U250" i="3" s="1"/>
  <c r="K250" i="3"/>
  <c r="T250" i="3" s="1"/>
  <c r="B250" i="3"/>
  <c r="E250" i="3"/>
  <c r="J250" i="3" s="1"/>
  <c r="S250" i="3" s="1"/>
  <c r="G218" i="3"/>
  <c r="L218" i="3" s="1"/>
  <c r="U218" i="3" s="1"/>
  <c r="K218" i="3"/>
  <c r="T218" i="3" s="1"/>
  <c r="B218" i="3"/>
  <c r="E218" i="3"/>
  <c r="J218" i="3" s="1"/>
  <c r="S218" i="3" s="1"/>
  <c r="G236" i="3"/>
  <c r="L236" i="3" s="1"/>
  <c r="U236" i="3" s="1"/>
  <c r="E236" i="3"/>
  <c r="J236" i="3" s="1"/>
  <c r="S236" i="3" s="1"/>
  <c r="K236" i="3"/>
  <c r="T236" i="3" s="1"/>
  <c r="B236" i="3"/>
  <c r="K255" i="3"/>
  <c r="T255" i="3" s="1"/>
  <c r="B255" i="3"/>
  <c r="G255" i="3"/>
  <c r="L255" i="3" s="1"/>
  <c r="U255" i="3" s="1"/>
  <c r="E255" i="3"/>
  <c r="J255" i="3" s="1"/>
  <c r="S255" i="3" s="1"/>
  <c r="K223" i="3"/>
  <c r="T223" i="3" s="1"/>
  <c r="E223" i="3"/>
  <c r="J223" i="3" s="1"/>
  <c r="S223" i="3" s="1"/>
  <c r="B223" i="3"/>
  <c r="G223" i="3"/>
  <c r="L223" i="3" s="1"/>
  <c r="U223" i="3" s="1"/>
  <c r="K263" i="3"/>
  <c r="G263" i="3"/>
  <c r="L263" i="3" s="1"/>
  <c r="E263" i="3"/>
  <c r="J263" i="3" s="1"/>
  <c r="B263" i="3"/>
  <c r="B249" i="3"/>
  <c r="K249" i="3"/>
  <c r="T249" i="3" s="1"/>
  <c r="G249" i="3"/>
  <c r="L249" i="3" s="1"/>
  <c r="U249" i="3" s="1"/>
  <c r="E249" i="3"/>
  <c r="J249" i="3" s="1"/>
  <c r="S249" i="3" s="1"/>
  <c r="B233" i="3"/>
  <c r="K233" i="3"/>
  <c r="T233" i="3" s="1"/>
  <c r="G233" i="3"/>
  <c r="L233" i="3" s="1"/>
  <c r="U233" i="3" s="1"/>
  <c r="E233" i="3"/>
  <c r="J233" i="3" s="1"/>
  <c r="S233" i="3" s="1"/>
  <c r="B217" i="3"/>
  <c r="E217" i="3"/>
  <c r="J217" i="3" s="1"/>
  <c r="S217" i="3" s="1"/>
  <c r="K217" i="3"/>
  <c r="T217" i="3" s="1"/>
  <c r="G217" i="3"/>
  <c r="L217" i="3" s="1"/>
  <c r="U217" i="3" s="1"/>
  <c r="E265" i="3"/>
  <c r="J265" i="3" s="1"/>
  <c r="G265" i="3"/>
  <c r="L265" i="3" s="1"/>
  <c r="K265" i="3"/>
  <c r="B265" i="3"/>
  <c r="G248" i="3"/>
  <c r="L248" i="3" s="1"/>
  <c r="U248" i="3" s="1"/>
  <c r="B248" i="3"/>
  <c r="E248" i="3"/>
  <c r="J248" i="3" s="1"/>
  <c r="S248" i="3" s="1"/>
  <c r="K248" i="3"/>
  <c r="T248" i="3" s="1"/>
  <c r="G232" i="3"/>
  <c r="L232" i="3" s="1"/>
  <c r="U232" i="3" s="1"/>
  <c r="B232" i="3"/>
  <c r="E232" i="3"/>
  <c r="J232" i="3" s="1"/>
  <c r="S232" i="3" s="1"/>
  <c r="K232" i="3"/>
  <c r="T232" i="3" s="1"/>
  <c r="G216" i="3"/>
  <c r="L216" i="3" s="1"/>
  <c r="U216" i="3" s="1"/>
  <c r="B216" i="3"/>
  <c r="E216" i="3"/>
  <c r="J216" i="3" s="1"/>
  <c r="S216" i="3" s="1"/>
  <c r="K216" i="3"/>
  <c r="T216" i="3" s="1"/>
  <c r="M76" i="13"/>
  <c r="M52" i="13"/>
  <c r="M87" i="13"/>
  <c r="M48" i="13"/>
  <c r="M63" i="13"/>
  <c r="M69" i="13"/>
  <c r="M78" i="13"/>
  <c r="M66" i="13"/>
  <c r="M102" i="13"/>
  <c r="M77" i="13"/>
  <c r="B198" i="3"/>
  <c r="K198" i="3"/>
  <c r="T198" i="3" s="1"/>
  <c r="E198" i="3"/>
  <c r="J198" i="3" s="1"/>
  <c r="S198" i="3" s="1"/>
  <c r="G198" i="3"/>
  <c r="L198" i="3" s="1"/>
  <c r="U198" i="3" s="1"/>
  <c r="K209" i="3"/>
  <c r="T209" i="3" s="1"/>
  <c r="G209" i="3"/>
  <c r="L209" i="3" s="1"/>
  <c r="U209" i="3" s="1"/>
  <c r="E209" i="3"/>
  <c r="J209" i="3" s="1"/>
  <c r="S209" i="3" s="1"/>
  <c r="B209" i="3"/>
  <c r="M105" i="13"/>
  <c r="M75" i="13"/>
  <c r="M89" i="13"/>
  <c r="M92" i="13"/>
  <c r="M60" i="13"/>
  <c r="M79" i="13"/>
  <c r="M90" i="13"/>
  <c r="M46" i="13"/>
  <c r="M42" i="13"/>
  <c r="M93" i="13"/>
  <c r="H26" i="13"/>
  <c r="E199" i="3"/>
  <c r="J199" i="3" s="1"/>
  <c r="S199" i="3" s="1"/>
  <c r="B199" i="3"/>
  <c r="G199" i="3"/>
  <c r="L199" i="3" s="1"/>
  <c r="U199" i="3" s="1"/>
  <c r="K199" i="3"/>
  <c r="T199" i="3" s="1"/>
  <c r="G200" i="3"/>
  <c r="L200" i="3" s="1"/>
  <c r="U200" i="3" s="1"/>
  <c r="E200" i="3"/>
  <c r="J200" i="3" s="1"/>
  <c r="S200" i="3" s="1"/>
  <c r="K200" i="3"/>
  <c r="T200" i="3" s="1"/>
  <c r="B200" i="3"/>
  <c r="K197" i="3"/>
  <c r="T197" i="3" s="1"/>
  <c r="B197" i="3"/>
  <c r="G197" i="3"/>
  <c r="L197" i="3" s="1"/>
  <c r="U197" i="3" s="1"/>
  <c r="E197" i="3"/>
  <c r="J197" i="3" s="1"/>
  <c r="S197" i="3" s="1"/>
  <c r="K213" i="3"/>
  <c r="T213" i="3" s="1"/>
  <c r="B213" i="3"/>
  <c r="G213" i="3"/>
  <c r="L213" i="3" s="1"/>
  <c r="U213" i="3" s="1"/>
  <c r="E213" i="3"/>
  <c r="J213" i="3" s="1"/>
  <c r="S213" i="3" s="1"/>
  <c r="M72" i="13"/>
  <c r="M71" i="13"/>
  <c r="M57" i="13"/>
  <c r="M74" i="13"/>
  <c r="M96" i="13"/>
  <c r="M51" i="13"/>
  <c r="M49" i="13"/>
  <c r="M85" i="13"/>
  <c r="M103" i="13"/>
  <c r="M94" i="13"/>
  <c r="M44" i="13"/>
  <c r="M80" i="13"/>
  <c r="M59" i="13"/>
  <c r="M33" i="13"/>
  <c r="M61" i="13"/>
  <c r="M38" i="13"/>
  <c r="M62" i="13"/>
  <c r="M86" i="13"/>
  <c r="M58" i="13"/>
  <c r="M114" i="13"/>
  <c r="M98" i="13"/>
  <c r="B211" i="3"/>
  <c r="G211" i="3"/>
  <c r="L211" i="3" s="1"/>
  <c r="U211" i="3" s="1"/>
  <c r="E211" i="3"/>
  <c r="J211" i="3" s="1"/>
  <c r="S211" i="3" s="1"/>
  <c r="K211" i="3"/>
  <c r="T211" i="3" s="1"/>
  <c r="G204" i="3"/>
  <c r="L204" i="3" s="1"/>
  <c r="U204" i="3" s="1"/>
  <c r="E204" i="3"/>
  <c r="J204" i="3" s="1"/>
  <c r="S204" i="3" s="1"/>
  <c r="K204" i="3"/>
  <c r="T204" i="3" s="1"/>
  <c r="B204" i="3"/>
  <c r="B206" i="3"/>
  <c r="K206" i="3"/>
  <c r="T206" i="3" s="1"/>
  <c r="E206" i="3"/>
  <c r="J206" i="3" s="1"/>
  <c r="S206" i="3" s="1"/>
  <c r="G206" i="3"/>
  <c r="L206" i="3" s="1"/>
  <c r="U206" i="3" s="1"/>
  <c r="K201" i="3"/>
  <c r="T201" i="3" s="1"/>
  <c r="G201" i="3"/>
  <c r="L201" i="3" s="1"/>
  <c r="U201" i="3" s="1"/>
  <c r="E201" i="3"/>
  <c r="J201" i="3" s="1"/>
  <c r="S201" i="3" s="1"/>
  <c r="B201" i="3"/>
  <c r="O29" i="13"/>
  <c r="H29" i="13"/>
  <c r="M39" i="13"/>
  <c r="M53" i="13"/>
  <c r="M110" i="13"/>
  <c r="M88" i="13"/>
  <c r="M41" i="13"/>
  <c r="M99" i="13"/>
  <c r="M40" i="13"/>
  <c r="M113" i="13"/>
  <c r="M91" i="13"/>
  <c r="M82" i="13"/>
  <c r="E207" i="3"/>
  <c r="J207" i="3" s="1"/>
  <c r="S207" i="3" s="1"/>
  <c r="B207" i="3"/>
  <c r="G207" i="3"/>
  <c r="L207" i="3" s="1"/>
  <c r="U207" i="3" s="1"/>
  <c r="K207" i="3"/>
  <c r="T207" i="3" s="1"/>
  <c r="G208" i="3"/>
  <c r="L208" i="3" s="1"/>
  <c r="U208" i="3" s="1"/>
  <c r="E208" i="3"/>
  <c r="J208" i="3" s="1"/>
  <c r="S208" i="3" s="1"/>
  <c r="K208" i="3"/>
  <c r="T208" i="3" s="1"/>
  <c r="B208" i="3"/>
  <c r="M104" i="13"/>
  <c r="M95" i="13"/>
  <c r="M36" i="13"/>
  <c r="M67" i="13"/>
  <c r="M32" i="13"/>
  <c r="M47" i="13"/>
  <c r="M37" i="13"/>
  <c r="M65" i="13"/>
  <c r="M107" i="13"/>
  <c r="M50" i="13"/>
  <c r="M109" i="13"/>
  <c r="B202" i="3"/>
  <c r="K202" i="3"/>
  <c r="T202" i="3" s="1"/>
  <c r="G202" i="3"/>
  <c r="L202" i="3" s="1"/>
  <c r="U202" i="3" s="1"/>
  <c r="E202" i="3"/>
  <c r="J202" i="3" s="1"/>
  <c r="S202" i="3" s="1"/>
  <c r="M108" i="13"/>
  <c r="M55" i="13"/>
  <c r="M68" i="13"/>
  <c r="M101" i="13"/>
  <c r="M100" i="13"/>
  <c r="M35" i="13"/>
  <c r="M64" i="13"/>
  <c r="M45" i="13"/>
  <c r="M83" i="13"/>
  <c r="M73" i="13"/>
  <c r="M106" i="13"/>
  <c r="M84" i="13"/>
  <c r="M43" i="13"/>
  <c r="M56" i="13"/>
  <c r="M34" i="13"/>
  <c r="M70" i="13"/>
  <c r="M81" i="13"/>
  <c r="M54" i="13"/>
  <c r="M97" i="13"/>
  <c r="M111" i="13"/>
  <c r="M112" i="13"/>
  <c r="B203" i="3"/>
  <c r="G203" i="3"/>
  <c r="L203" i="3" s="1"/>
  <c r="U203" i="3" s="1"/>
  <c r="E203" i="3"/>
  <c r="J203" i="3" s="1"/>
  <c r="S203" i="3" s="1"/>
  <c r="K203" i="3"/>
  <c r="T203" i="3" s="1"/>
  <c r="G212" i="3"/>
  <c r="L212" i="3" s="1"/>
  <c r="U212" i="3" s="1"/>
  <c r="E212" i="3"/>
  <c r="J212" i="3" s="1"/>
  <c r="S212" i="3" s="1"/>
  <c r="K212" i="3"/>
  <c r="T212" i="3" s="1"/>
  <c r="B212" i="3"/>
  <c r="B210" i="3"/>
  <c r="K210" i="3"/>
  <c r="T210" i="3" s="1"/>
  <c r="G210" i="3"/>
  <c r="L210" i="3" s="1"/>
  <c r="U210" i="3" s="1"/>
  <c r="E210" i="3"/>
  <c r="J210" i="3" s="1"/>
  <c r="S210" i="3" s="1"/>
  <c r="K205" i="3"/>
  <c r="T205" i="3" s="1"/>
  <c r="B205" i="3"/>
  <c r="G205" i="3"/>
  <c r="L205" i="3" s="1"/>
  <c r="U205" i="3" s="1"/>
  <c r="E205" i="3"/>
  <c r="J205" i="3" s="1"/>
  <c r="S205" i="3" s="1"/>
  <c r="I89" i="14" l="1"/>
  <c r="I134" i="14"/>
  <c r="J84" i="14"/>
  <c r="J85" i="14"/>
  <c r="K127" i="14"/>
  <c r="K126" i="14"/>
  <c r="L125" i="14"/>
  <c r="K82" i="14"/>
  <c r="K81" i="14"/>
  <c r="L80" i="14"/>
  <c r="K37" i="14"/>
  <c r="K36" i="14"/>
  <c r="L35" i="14"/>
  <c r="J130" i="14"/>
  <c r="J129" i="14"/>
  <c r="J40" i="14"/>
  <c r="J39" i="14"/>
  <c r="I44" i="14"/>
  <c r="M132" i="13"/>
  <c r="M266" i="13"/>
  <c r="N242" i="13" s="1"/>
  <c r="M144" i="13"/>
  <c r="O232" i="13"/>
  <c r="H232" i="13"/>
  <c r="O135" i="13"/>
  <c r="H135" i="13"/>
  <c r="H229" i="13"/>
  <c r="O229" i="13"/>
  <c r="O203" i="13"/>
  <c r="H203" i="13"/>
  <c r="H147" i="13"/>
  <c r="O147" i="13"/>
  <c r="H141" i="13"/>
  <c r="O141" i="13"/>
  <c r="H180" i="13"/>
  <c r="O180" i="13"/>
  <c r="H154" i="13"/>
  <c r="O154" i="13"/>
  <c r="H209" i="13"/>
  <c r="O209" i="13"/>
  <c r="H145" i="13"/>
  <c r="O145" i="13"/>
  <c r="H167" i="13"/>
  <c r="O167" i="13"/>
  <c r="O198" i="13"/>
  <c r="H198" i="13"/>
  <c r="O162" i="13"/>
  <c r="H162" i="13"/>
  <c r="H183" i="13"/>
  <c r="O183" i="13"/>
  <c r="H278" i="13"/>
  <c r="O278" i="13"/>
  <c r="O347" i="13"/>
  <c r="H347" i="13"/>
  <c r="H302" i="13"/>
  <c r="O302" i="13"/>
  <c r="H252" i="13"/>
  <c r="O252" i="13"/>
  <c r="H330" i="13"/>
  <c r="O330" i="13"/>
  <c r="O309" i="13"/>
  <c r="H309" i="13"/>
  <c r="H267" i="13"/>
  <c r="O267" i="13"/>
  <c r="O327" i="13"/>
  <c r="H327" i="13"/>
  <c r="H344" i="13"/>
  <c r="O344" i="13"/>
  <c r="O308" i="13"/>
  <c r="H308" i="13"/>
  <c r="H315" i="13"/>
  <c r="O315" i="13"/>
  <c r="H290" i="13"/>
  <c r="O290" i="13"/>
  <c r="H230" i="13"/>
  <c r="O230" i="13"/>
  <c r="H139" i="13"/>
  <c r="O139" i="13"/>
  <c r="O213" i="13"/>
  <c r="H213" i="13"/>
  <c r="H184" i="13"/>
  <c r="O184" i="13"/>
  <c r="H158" i="13"/>
  <c r="O158" i="13"/>
  <c r="O223" i="13"/>
  <c r="H223" i="13"/>
  <c r="H208" i="13"/>
  <c r="O208" i="13"/>
  <c r="H152" i="13"/>
  <c r="O152" i="13"/>
  <c r="O143" i="13"/>
  <c r="H143" i="13"/>
  <c r="O182" i="13"/>
  <c r="H182" i="13"/>
  <c r="O174" i="13"/>
  <c r="H174" i="13"/>
  <c r="H207" i="13"/>
  <c r="O207" i="13"/>
  <c r="H129" i="13"/>
  <c r="O129" i="13"/>
  <c r="O165" i="13"/>
  <c r="H165" i="13"/>
  <c r="O269" i="13"/>
  <c r="H269" i="13"/>
  <c r="H331" i="13"/>
  <c r="O331" i="13"/>
  <c r="H286" i="13"/>
  <c r="O286" i="13"/>
  <c r="O283" i="13"/>
  <c r="H283" i="13"/>
  <c r="H336" i="13"/>
  <c r="O336" i="13"/>
  <c r="O314" i="13"/>
  <c r="H314" i="13"/>
  <c r="H264" i="13"/>
  <c r="O264" i="13"/>
  <c r="H339" i="13"/>
  <c r="O339" i="13"/>
  <c r="O299" i="13"/>
  <c r="H299" i="13"/>
  <c r="O306" i="13"/>
  <c r="H306" i="13"/>
  <c r="H332" i="13"/>
  <c r="O332" i="13"/>
  <c r="H260" i="13"/>
  <c r="O260" i="13"/>
  <c r="H301" i="13"/>
  <c r="O301" i="13"/>
  <c r="H231" i="13"/>
  <c r="O231" i="13"/>
  <c r="H136" i="13"/>
  <c r="O136" i="13"/>
  <c r="O216" i="13"/>
  <c r="H216" i="13"/>
  <c r="H168" i="13"/>
  <c r="O168" i="13"/>
  <c r="H142" i="13"/>
  <c r="O142" i="13"/>
  <c r="O222" i="13"/>
  <c r="H222" i="13"/>
  <c r="O185" i="13"/>
  <c r="H185" i="13"/>
  <c r="H159" i="13"/>
  <c r="O159" i="13"/>
  <c r="H221" i="13"/>
  <c r="O221" i="13"/>
  <c r="O169" i="13"/>
  <c r="H169" i="13"/>
  <c r="O161" i="13"/>
  <c r="H161" i="13"/>
  <c r="O181" i="13"/>
  <c r="H181" i="13"/>
  <c r="O195" i="13"/>
  <c r="H195" i="13"/>
  <c r="H262" i="13"/>
  <c r="O262" i="13"/>
  <c r="H345" i="13"/>
  <c r="O345" i="13"/>
  <c r="H307" i="13"/>
  <c r="O307" i="13"/>
  <c r="H295" i="13"/>
  <c r="O295" i="13"/>
  <c r="H343" i="13"/>
  <c r="O343" i="13"/>
  <c r="H298" i="13"/>
  <c r="O298" i="13"/>
  <c r="O304" i="13"/>
  <c r="H304" i="13"/>
  <c r="H326" i="13"/>
  <c r="O326" i="13"/>
  <c r="O263" i="13"/>
  <c r="H263" i="13"/>
  <c r="H320" i="13"/>
  <c r="O320" i="13"/>
  <c r="H338" i="13"/>
  <c r="O338" i="13"/>
  <c r="O279" i="13"/>
  <c r="H279" i="13"/>
  <c r="H284" i="13"/>
  <c r="O284" i="13"/>
  <c r="O351" i="13"/>
  <c r="H351" i="13"/>
  <c r="H226" i="13"/>
  <c r="O226" i="13"/>
  <c r="O189" i="13"/>
  <c r="H189" i="13"/>
  <c r="H166" i="13"/>
  <c r="O166" i="13"/>
  <c r="H204" i="13"/>
  <c r="O204" i="13"/>
  <c r="H212" i="13"/>
  <c r="O212" i="13"/>
  <c r="O175" i="13"/>
  <c r="H175" i="13"/>
  <c r="O149" i="13"/>
  <c r="H149" i="13"/>
  <c r="H160" i="13"/>
  <c r="O160" i="13"/>
  <c r="H215" i="13"/>
  <c r="O215" i="13"/>
  <c r="H130" i="13"/>
  <c r="O130" i="13"/>
  <c r="O176" i="13"/>
  <c r="H176" i="13"/>
  <c r="H217" i="13"/>
  <c r="O217" i="13"/>
  <c r="H146" i="13"/>
  <c r="O146" i="13"/>
  <c r="O253" i="13"/>
  <c r="H253" i="13"/>
  <c r="H318" i="13"/>
  <c r="O318" i="13"/>
  <c r="H297" i="13"/>
  <c r="O297" i="13"/>
  <c r="H255" i="13"/>
  <c r="O255" i="13"/>
  <c r="O324" i="13"/>
  <c r="H324" i="13"/>
  <c r="H288" i="13"/>
  <c r="O288" i="13"/>
  <c r="H258" i="13"/>
  <c r="O258" i="13"/>
  <c r="O287" i="13"/>
  <c r="H287" i="13"/>
  <c r="O329" i="13"/>
  <c r="H329" i="13"/>
  <c r="H270" i="13"/>
  <c r="O270" i="13"/>
  <c r="H289" i="13"/>
  <c r="O289" i="13"/>
  <c r="O319" i="13"/>
  <c r="H319" i="13"/>
  <c r="O132" i="13"/>
  <c r="H132" i="13"/>
  <c r="H266" i="13"/>
  <c r="O266" i="13"/>
  <c r="H144" i="13"/>
  <c r="O144" i="13"/>
  <c r="H352" i="13"/>
  <c r="O352" i="13"/>
  <c r="O148" i="13"/>
  <c r="H148" i="13"/>
  <c r="O224" i="13"/>
  <c r="H224" i="13"/>
  <c r="H179" i="13"/>
  <c r="O179" i="13"/>
  <c r="O153" i="13"/>
  <c r="H153" i="13"/>
  <c r="H197" i="13"/>
  <c r="O197" i="13"/>
  <c r="O186" i="13"/>
  <c r="H186" i="13"/>
  <c r="H133" i="13"/>
  <c r="O133" i="13"/>
  <c r="H171" i="13"/>
  <c r="O171" i="13"/>
  <c r="H194" i="13"/>
  <c r="O194" i="13"/>
  <c r="O131" i="13"/>
  <c r="H131" i="13"/>
  <c r="O187" i="13"/>
  <c r="H187" i="13"/>
  <c r="H210" i="13"/>
  <c r="O210" i="13"/>
  <c r="H157" i="13"/>
  <c r="O157" i="13"/>
  <c r="O250" i="13"/>
  <c r="H250" i="13"/>
  <c r="H325" i="13"/>
  <c r="O325" i="13"/>
  <c r="H281" i="13"/>
  <c r="O281" i="13"/>
  <c r="O254" i="13"/>
  <c r="H254" i="13"/>
  <c r="H303" i="13"/>
  <c r="O303" i="13"/>
  <c r="H292" i="13"/>
  <c r="O292" i="13"/>
  <c r="O348" i="13"/>
  <c r="H348" i="13"/>
  <c r="H276" i="13"/>
  <c r="O276" i="13"/>
  <c r="H311" i="13"/>
  <c r="O311" i="13"/>
  <c r="H346" i="13"/>
  <c r="O346" i="13"/>
  <c r="H277" i="13"/>
  <c r="O277" i="13"/>
  <c r="H296" i="13"/>
  <c r="O296" i="13"/>
  <c r="H349" i="13"/>
  <c r="O349" i="13"/>
  <c r="H201" i="13"/>
  <c r="O201" i="13"/>
  <c r="H163" i="13"/>
  <c r="O163" i="13"/>
  <c r="H137" i="13"/>
  <c r="O137" i="13"/>
  <c r="O228" i="13"/>
  <c r="H228" i="13"/>
  <c r="H164" i="13"/>
  <c r="O164" i="13"/>
  <c r="H138" i="13"/>
  <c r="O138" i="13"/>
  <c r="O200" i="13"/>
  <c r="H200" i="13"/>
  <c r="O199" i="13"/>
  <c r="H199" i="13"/>
  <c r="H219" i="13"/>
  <c r="O219" i="13"/>
  <c r="H173" i="13"/>
  <c r="O173" i="13"/>
  <c r="H205" i="13"/>
  <c r="O205" i="13"/>
  <c r="O265" i="13"/>
  <c r="H265" i="13"/>
  <c r="H274" i="13"/>
  <c r="O274" i="13"/>
  <c r="H312" i="13"/>
  <c r="O312" i="13"/>
  <c r="O291" i="13"/>
  <c r="H291" i="13"/>
  <c r="O273" i="13"/>
  <c r="H273" i="13"/>
  <c r="O337" i="13"/>
  <c r="H337" i="13"/>
  <c r="H293" i="13"/>
  <c r="O293" i="13"/>
  <c r="O251" i="13"/>
  <c r="H251" i="13"/>
  <c r="H294" i="13"/>
  <c r="O294" i="13"/>
  <c r="H335" i="13"/>
  <c r="O335" i="13"/>
  <c r="O256" i="13"/>
  <c r="H256" i="13"/>
  <c r="H310" i="13"/>
  <c r="O310" i="13"/>
  <c r="H322" i="13"/>
  <c r="O322" i="13"/>
  <c r="H259" i="13"/>
  <c r="O259" i="13"/>
  <c r="O350" i="13"/>
  <c r="H350" i="13"/>
  <c r="H227" i="13"/>
  <c r="O227" i="13"/>
  <c r="H190" i="13"/>
  <c r="O190" i="13"/>
  <c r="H156" i="13"/>
  <c r="O156" i="13"/>
  <c r="H140" i="13"/>
  <c r="O140" i="13"/>
  <c r="H202" i="13"/>
  <c r="O202" i="13"/>
  <c r="H191" i="13"/>
  <c r="O191" i="13"/>
  <c r="H170" i="13"/>
  <c r="O170" i="13"/>
  <c r="O192" i="13"/>
  <c r="H192" i="13"/>
  <c r="H211" i="13"/>
  <c r="O211" i="13"/>
  <c r="O218" i="13"/>
  <c r="H218" i="13"/>
  <c r="O155" i="13"/>
  <c r="H155" i="13"/>
  <c r="H151" i="13"/>
  <c r="O151" i="13"/>
  <c r="H333" i="13"/>
  <c r="O333" i="13"/>
  <c r="O313" i="13"/>
  <c r="H313" i="13"/>
  <c r="H271" i="13"/>
  <c r="O271" i="13"/>
  <c r="H321" i="13"/>
  <c r="O321" i="13"/>
  <c r="H300" i="13"/>
  <c r="O300" i="13"/>
  <c r="O257" i="13"/>
  <c r="H257" i="13"/>
  <c r="O305" i="13"/>
  <c r="H305" i="13"/>
  <c r="H342" i="13"/>
  <c r="O342" i="13"/>
  <c r="H275" i="13"/>
  <c r="O275" i="13"/>
  <c r="H328" i="13"/>
  <c r="O328" i="13"/>
  <c r="O316" i="13"/>
  <c r="H316" i="13"/>
  <c r="O233" i="13"/>
  <c r="H233" i="13"/>
  <c r="H206" i="13"/>
  <c r="O206" i="13"/>
  <c r="O196" i="13"/>
  <c r="H196" i="13"/>
  <c r="O178" i="13"/>
  <c r="H178" i="13"/>
  <c r="O225" i="13"/>
  <c r="H225" i="13"/>
  <c r="O193" i="13"/>
  <c r="H193" i="13"/>
  <c r="O177" i="13"/>
  <c r="H177" i="13"/>
  <c r="O214" i="13"/>
  <c r="H214" i="13"/>
  <c r="H134" i="13"/>
  <c r="O134" i="13"/>
  <c r="O172" i="13"/>
  <c r="H172" i="13"/>
  <c r="H220" i="13"/>
  <c r="O220" i="13"/>
  <c r="H150" i="13"/>
  <c r="O150" i="13"/>
  <c r="H188" i="13"/>
  <c r="O188" i="13"/>
  <c r="O249" i="13"/>
  <c r="H249" i="13"/>
  <c r="H340" i="13"/>
  <c r="O340" i="13"/>
  <c r="O317" i="13"/>
  <c r="H317" i="13"/>
  <c r="H268" i="13"/>
  <c r="O268" i="13"/>
  <c r="O341" i="13"/>
  <c r="H341" i="13"/>
  <c r="H282" i="13"/>
  <c r="O282" i="13"/>
  <c r="H280" i="13"/>
  <c r="O280" i="13"/>
  <c r="O323" i="13"/>
  <c r="H323" i="13"/>
  <c r="O261" i="13"/>
  <c r="H261" i="13"/>
  <c r="O285" i="13"/>
  <c r="H285" i="13"/>
  <c r="H334" i="13"/>
  <c r="O334" i="13"/>
  <c r="H248" i="13"/>
  <c r="O248" i="13"/>
  <c r="H272" i="13"/>
  <c r="O272" i="13"/>
  <c r="H24" i="13"/>
  <c r="I24" i="13" s="1"/>
  <c r="N24" i="13" s="1"/>
  <c r="O10" i="13"/>
  <c r="H30" i="13"/>
  <c r="L30" i="13" s="1"/>
  <c r="O27" i="13"/>
  <c r="O23" i="13"/>
  <c r="O25" i="13"/>
  <c r="H11" i="13"/>
  <c r="I11" i="13" s="1"/>
  <c r="N11" i="13" s="1"/>
  <c r="O19" i="13"/>
  <c r="O21" i="13"/>
  <c r="O12" i="13"/>
  <c r="H20" i="13"/>
  <c r="I20" i="13" s="1"/>
  <c r="N20" i="13" s="1"/>
  <c r="O31" i="13"/>
  <c r="H15" i="13"/>
  <c r="L15" i="13" s="1"/>
  <c r="H16" i="13"/>
  <c r="L16" i="13" s="1"/>
  <c r="H28" i="13"/>
  <c r="L28" i="13" s="1"/>
  <c r="H14" i="13"/>
  <c r="I14" i="13" s="1"/>
  <c r="N14" i="13" s="1"/>
  <c r="O18" i="13"/>
  <c r="H22" i="13"/>
  <c r="L22" i="13" s="1"/>
  <c r="H17" i="13"/>
  <c r="L17" i="13" s="1"/>
  <c r="O13" i="13"/>
  <c r="N4" i="13"/>
  <c r="O47" i="13"/>
  <c r="H47" i="13"/>
  <c r="O114" i="13"/>
  <c r="H114" i="13"/>
  <c r="O38" i="13"/>
  <c r="H38" i="13"/>
  <c r="O94" i="13"/>
  <c r="H94" i="13"/>
  <c r="O112" i="13"/>
  <c r="H112" i="13"/>
  <c r="O81" i="13"/>
  <c r="H81" i="13"/>
  <c r="O43" i="13"/>
  <c r="H43" i="13"/>
  <c r="O64" i="13"/>
  <c r="H64" i="13"/>
  <c r="O109" i="13"/>
  <c r="H109" i="13"/>
  <c r="O32" i="13"/>
  <c r="H32" i="13"/>
  <c r="I21" i="13"/>
  <c r="N21" i="13" s="1"/>
  <c r="L21" i="13"/>
  <c r="O40" i="13"/>
  <c r="H40" i="13"/>
  <c r="O41" i="13"/>
  <c r="H41" i="13"/>
  <c r="H39" i="13"/>
  <c r="O39" i="13"/>
  <c r="I29" i="13"/>
  <c r="N29" i="13" s="1"/>
  <c r="L29" i="13"/>
  <c r="O90" i="13"/>
  <c r="H90" i="13"/>
  <c r="O89" i="13"/>
  <c r="H89" i="13"/>
  <c r="O105" i="13"/>
  <c r="H105" i="13"/>
  <c r="O102" i="13"/>
  <c r="H102" i="13"/>
  <c r="L23" i="13"/>
  <c r="I23" i="13"/>
  <c r="N23" i="13" s="1"/>
  <c r="I13" i="13"/>
  <c r="N13" i="13" s="1"/>
  <c r="L13" i="13"/>
  <c r="O111" i="13"/>
  <c r="H111" i="13"/>
  <c r="O54" i="13"/>
  <c r="H54" i="13"/>
  <c r="O70" i="13"/>
  <c r="H70" i="13"/>
  <c r="O56" i="13"/>
  <c r="H56" i="13"/>
  <c r="O84" i="13"/>
  <c r="H84" i="13"/>
  <c r="O73" i="13"/>
  <c r="H73" i="13"/>
  <c r="O45" i="13"/>
  <c r="H45" i="13"/>
  <c r="H35" i="13"/>
  <c r="O35" i="13"/>
  <c r="O101" i="13"/>
  <c r="H101" i="13"/>
  <c r="O55" i="13"/>
  <c r="H55" i="13"/>
  <c r="L12" i="13"/>
  <c r="I12" i="13"/>
  <c r="N12" i="13" s="1"/>
  <c r="O50" i="13"/>
  <c r="H50" i="13"/>
  <c r="O65" i="13"/>
  <c r="H65" i="13"/>
  <c r="H67" i="13"/>
  <c r="O67" i="13"/>
  <c r="H95" i="13"/>
  <c r="O95" i="13"/>
  <c r="L19" i="13"/>
  <c r="I19" i="13"/>
  <c r="N19" i="13" s="1"/>
  <c r="O82" i="13"/>
  <c r="H82" i="13"/>
  <c r="O113" i="13"/>
  <c r="H113" i="13"/>
  <c r="H99" i="13"/>
  <c r="O99" i="13"/>
  <c r="H88" i="13"/>
  <c r="O88" i="13"/>
  <c r="O53" i="13"/>
  <c r="H53" i="13"/>
  <c r="I26" i="13"/>
  <c r="N26" i="13" s="1"/>
  <c r="L26" i="13"/>
  <c r="O93" i="13"/>
  <c r="H93" i="13"/>
  <c r="O46" i="13"/>
  <c r="H46" i="13"/>
  <c r="H79" i="13"/>
  <c r="O79" i="13"/>
  <c r="O92" i="13"/>
  <c r="H92" i="13"/>
  <c r="O75" i="13"/>
  <c r="H75" i="13"/>
  <c r="L10" i="13"/>
  <c r="I10" i="13"/>
  <c r="O77" i="13"/>
  <c r="H77" i="13"/>
  <c r="O66" i="13"/>
  <c r="H66" i="13"/>
  <c r="O69" i="13"/>
  <c r="H69" i="13"/>
  <c r="O48" i="13"/>
  <c r="H48" i="13"/>
  <c r="O52" i="13"/>
  <c r="H52" i="13"/>
  <c r="L18" i="13"/>
  <c r="I18" i="13"/>
  <c r="N18" i="13" s="1"/>
  <c r="O86" i="13"/>
  <c r="H86" i="13"/>
  <c r="O33" i="13"/>
  <c r="H33" i="13"/>
  <c r="O80" i="13"/>
  <c r="H80" i="13"/>
  <c r="O85" i="13"/>
  <c r="H85" i="13"/>
  <c r="H51" i="13"/>
  <c r="O51" i="13"/>
  <c r="O74" i="13"/>
  <c r="H74" i="13"/>
  <c r="H71" i="13"/>
  <c r="O71" i="13"/>
  <c r="O97" i="13"/>
  <c r="H97" i="13"/>
  <c r="O34" i="13"/>
  <c r="H34" i="13"/>
  <c r="O106" i="13"/>
  <c r="H106" i="13"/>
  <c r="O83" i="13"/>
  <c r="H83" i="13"/>
  <c r="H100" i="13"/>
  <c r="O100" i="13"/>
  <c r="O68" i="13"/>
  <c r="H68" i="13"/>
  <c r="O108" i="13"/>
  <c r="H108" i="13"/>
  <c r="I25" i="13"/>
  <c r="N25" i="13" s="1"/>
  <c r="L25" i="13"/>
  <c r="O107" i="13"/>
  <c r="H107" i="13"/>
  <c r="O37" i="13"/>
  <c r="H37" i="13"/>
  <c r="O36" i="13"/>
  <c r="H36" i="13"/>
  <c r="O104" i="13"/>
  <c r="H104" i="13"/>
  <c r="L27" i="13"/>
  <c r="I27" i="13"/>
  <c r="N27" i="13" s="1"/>
  <c r="O91" i="13"/>
  <c r="H91" i="13"/>
  <c r="O110" i="13"/>
  <c r="H110" i="13"/>
  <c r="O42" i="13"/>
  <c r="H42" i="13"/>
  <c r="O60" i="13"/>
  <c r="H60" i="13"/>
  <c r="O78" i="13"/>
  <c r="H78" i="13"/>
  <c r="H63" i="13"/>
  <c r="O63" i="13"/>
  <c r="H87" i="13"/>
  <c r="O87" i="13"/>
  <c r="O76" i="13"/>
  <c r="H76" i="13"/>
  <c r="L31" i="13"/>
  <c r="I31" i="13"/>
  <c r="N31" i="13" s="1"/>
  <c r="O98" i="13"/>
  <c r="H98" i="13"/>
  <c r="O58" i="13"/>
  <c r="H58" i="13"/>
  <c r="O62" i="13"/>
  <c r="H62" i="13"/>
  <c r="O61" i="13"/>
  <c r="H61" i="13"/>
  <c r="O59" i="13"/>
  <c r="H59" i="13"/>
  <c r="H44" i="13"/>
  <c r="O44" i="13"/>
  <c r="H103" i="13"/>
  <c r="O103" i="13"/>
  <c r="O49" i="13"/>
  <c r="H49" i="13"/>
  <c r="O96" i="13"/>
  <c r="H96" i="13"/>
  <c r="O57" i="13"/>
  <c r="H57" i="13"/>
  <c r="H72" i="13"/>
  <c r="O72" i="13"/>
  <c r="L24" i="13" l="1"/>
  <c r="N123" i="13"/>
  <c r="J44" i="14"/>
  <c r="M35" i="14"/>
  <c r="L37" i="14"/>
  <c r="L36" i="14"/>
  <c r="K129" i="14"/>
  <c r="K130" i="14"/>
  <c r="K84" i="14"/>
  <c r="K85" i="14"/>
  <c r="L82" i="14"/>
  <c r="L81" i="14"/>
  <c r="M80" i="14"/>
  <c r="J134" i="14"/>
  <c r="K40" i="14"/>
  <c r="K39" i="14"/>
  <c r="M125" i="14"/>
  <c r="L127" i="14"/>
  <c r="L126" i="14"/>
  <c r="J89" i="14"/>
  <c r="L334" i="13"/>
  <c r="I334" i="13"/>
  <c r="N334" i="13" s="1"/>
  <c r="L280" i="13"/>
  <c r="I280" i="13"/>
  <c r="N280" i="13" s="1"/>
  <c r="L150" i="13"/>
  <c r="I150" i="13"/>
  <c r="N150" i="13" s="1"/>
  <c r="I227" i="13"/>
  <c r="N227" i="13" s="1"/>
  <c r="L227" i="13"/>
  <c r="Q242" i="13"/>
  <c r="H72" i="3" s="1"/>
  <c r="L285" i="13"/>
  <c r="I285" i="13"/>
  <c r="N285" i="13" s="1"/>
  <c r="L323" i="13"/>
  <c r="I323" i="13"/>
  <c r="N323" i="13" s="1"/>
  <c r="L177" i="13"/>
  <c r="I177" i="13"/>
  <c r="N177" i="13" s="1"/>
  <c r="I225" i="13"/>
  <c r="N225" i="13" s="1"/>
  <c r="L225" i="13"/>
  <c r="L196" i="13"/>
  <c r="I196" i="13"/>
  <c r="N196" i="13" s="1"/>
  <c r="L233" i="13"/>
  <c r="I233" i="13"/>
  <c r="N233" i="13" s="1"/>
  <c r="L257" i="13"/>
  <c r="I257" i="13"/>
  <c r="N257" i="13" s="1"/>
  <c r="L313" i="13"/>
  <c r="I313" i="13"/>
  <c r="N313" i="13" s="1"/>
  <c r="L218" i="13"/>
  <c r="I218" i="13"/>
  <c r="N218" i="13" s="1"/>
  <c r="I192" i="13"/>
  <c r="N192" i="13" s="1"/>
  <c r="L192" i="13"/>
  <c r="L350" i="13"/>
  <c r="I350" i="13"/>
  <c r="N350" i="13" s="1"/>
  <c r="L256" i="13"/>
  <c r="I256" i="13"/>
  <c r="N256" i="13" s="1"/>
  <c r="L273" i="13"/>
  <c r="I273" i="13"/>
  <c r="N273" i="13" s="1"/>
  <c r="L265" i="13"/>
  <c r="I265" i="13"/>
  <c r="N265" i="13" s="1"/>
  <c r="L199" i="13"/>
  <c r="I199" i="13"/>
  <c r="N199" i="13" s="1"/>
  <c r="L228" i="13"/>
  <c r="I228" i="13"/>
  <c r="N228" i="13" s="1"/>
  <c r="I348" i="13"/>
  <c r="N348" i="13" s="1"/>
  <c r="L348" i="13"/>
  <c r="L250" i="13"/>
  <c r="I250" i="13"/>
  <c r="N250" i="13" s="1"/>
  <c r="I131" i="13"/>
  <c r="N131" i="13" s="1"/>
  <c r="L131" i="13"/>
  <c r="L186" i="13"/>
  <c r="I186" i="13"/>
  <c r="N186" i="13" s="1"/>
  <c r="I153" i="13"/>
  <c r="N153" i="13" s="1"/>
  <c r="L153" i="13"/>
  <c r="L224" i="13"/>
  <c r="I224" i="13"/>
  <c r="N224" i="13" s="1"/>
  <c r="I144" i="13"/>
  <c r="N144" i="13" s="1"/>
  <c r="L144" i="13"/>
  <c r="L289" i="13"/>
  <c r="I289" i="13"/>
  <c r="N289" i="13" s="1"/>
  <c r="L258" i="13"/>
  <c r="I258" i="13"/>
  <c r="N258" i="13" s="1"/>
  <c r="L297" i="13"/>
  <c r="I297" i="13"/>
  <c r="N297" i="13" s="1"/>
  <c r="L217" i="13"/>
  <c r="I217" i="13"/>
  <c r="N217" i="13" s="1"/>
  <c r="L130" i="13"/>
  <c r="I130" i="13"/>
  <c r="N130" i="13" s="1"/>
  <c r="L160" i="13"/>
  <c r="I160" i="13"/>
  <c r="N160" i="13" s="1"/>
  <c r="I204" i="13"/>
  <c r="N204" i="13" s="1"/>
  <c r="L204" i="13"/>
  <c r="L320" i="13"/>
  <c r="I320" i="13"/>
  <c r="N320" i="13" s="1"/>
  <c r="L326" i="13"/>
  <c r="I326" i="13"/>
  <c r="N326" i="13" s="1"/>
  <c r="I298" i="13"/>
  <c r="N298" i="13" s="1"/>
  <c r="L298" i="13"/>
  <c r="L295" i="13"/>
  <c r="I295" i="13"/>
  <c r="N295" i="13" s="1"/>
  <c r="L345" i="13"/>
  <c r="I345" i="13"/>
  <c r="N345" i="13" s="1"/>
  <c r="I221" i="13"/>
  <c r="N221" i="13" s="1"/>
  <c r="L221" i="13"/>
  <c r="L142" i="13"/>
  <c r="I142" i="13"/>
  <c r="N142" i="13" s="1"/>
  <c r="L231" i="13"/>
  <c r="I231" i="13"/>
  <c r="N231" i="13" s="1"/>
  <c r="L260" i="13"/>
  <c r="I260" i="13"/>
  <c r="N260" i="13" s="1"/>
  <c r="L339" i="13"/>
  <c r="I339" i="13"/>
  <c r="N339" i="13" s="1"/>
  <c r="L331" i="13"/>
  <c r="I331" i="13"/>
  <c r="N331" i="13" s="1"/>
  <c r="L207" i="13"/>
  <c r="I207" i="13"/>
  <c r="N207" i="13" s="1"/>
  <c r="I152" i="13"/>
  <c r="N152" i="13" s="1"/>
  <c r="L152" i="13"/>
  <c r="L184" i="13"/>
  <c r="I184" i="13"/>
  <c r="N184" i="13" s="1"/>
  <c r="L139" i="13"/>
  <c r="I139" i="13"/>
  <c r="N139" i="13" s="1"/>
  <c r="L290" i="13"/>
  <c r="I290" i="13"/>
  <c r="N290" i="13" s="1"/>
  <c r="L252" i="13"/>
  <c r="I252" i="13"/>
  <c r="N252" i="13" s="1"/>
  <c r="L183" i="13"/>
  <c r="I183" i="13"/>
  <c r="N183" i="13" s="1"/>
  <c r="I145" i="13"/>
  <c r="N145" i="13" s="1"/>
  <c r="L145" i="13"/>
  <c r="I154" i="13"/>
  <c r="N154" i="13" s="1"/>
  <c r="L154" i="13"/>
  <c r="L141" i="13"/>
  <c r="I141" i="13"/>
  <c r="N141" i="13" s="1"/>
  <c r="L282" i="13"/>
  <c r="I282" i="13"/>
  <c r="N282" i="13" s="1"/>
  <c r="I340" i="13"/>
  <c r="N340" i="13" s="1"/>
  <c r="L340" i="13"/>
  <c r="I220" i="13"/>
  <c r="N220" i="13" s="1"/>
  <c r="L220" i="13"/>
  <c r="L328" i="13"/>
  <c r="I328" i="13"/>
  <c r="N328" i="13" s="1"/>
  <c r="L342" i="13"/>
  <c r="I342" i="13"/>
  <c r="N342" i="13" s="1"/>
  <c r="I321" i="13"/>
  <c r="N321" i="13" s="1"/>
  <c r="L321" i="13"/>
  <c r="L151" i="13"/>
  <c r="I151" i="13"/>
  <c r="N151" i="13" s="1"/>
  <c r="L191" i="13"/>
  <c r="I191" i="13"/>
  <c r="N191" i="13" s="1"/>
  <c r="L140" i="13"/>
  <c r="I140" i="13"/>
  <c r="N140" i="13" s="1"/>
  <c r="L190" i="13"/>
  <c r="I190" i="13"/>
  <c r="N190" i="13" s="1"/>
  <c r="L322" i="13"/>
  <c r="I322" i="13"/>
  <c r="N322" i="13" s="1"/>
  <c r="L294" i="13"/>
  <c r="I294" i="13"/>
  <c r="N294" i="13" s="1"/>
  <c r="L293" i="13"/>
  <c r="I293" i="13"/>
  <c r="N293" i="13" s="1"/>
  <c r="L312" i="13"/>
  <c r="I312" i="13"/>
  <c r="N312" i="13" s="1"/>
  <c r="I173" i="13"/>
  <c r="N173" i="13" s="1"/>
  <c r="L173" i="13"/>
  <c r="L138" i="13"/>
  <c r="I138" i="13"/>
  <c r="N138" i="13" s="1"/>
  <c r="I163" i="13"/>
  <c r="N163" i="13" s="1"/>
  <c r="L163" i="13"/>
  <c r="I349" i="13"/>
  <c r="N349" i="13" s="1"/>
  <c r="L349" i="13"/>
  <c r="L277" i="13"/>
  <c r="I277" i="13"/>
  <c r="N277" i="13" s="1"/>
  <c r="L311" i="13"/>
  <c r="I311" i="13"/>
  <c r="N311" i="13" s="1"/>
  <c r="L303" i="13"/>
  <c r="I303" i="13"/>
  <c r="N303" i="13" s="1"/>
  <c r="L281" i="13"/>
  <c r="I281" i="13"/>
  <c r="N281" i="13" s="1"/>
  <c r="L210" i="13"/>
  <c r="I210" i="13"/>
  <c r="N210" i="13" s="1"/>
  <c r="I171" i="13"/>
  <c r="N171" i="13" s="1"/>
  <c r="L171" i="13"/>
  <c r="I352" i="13"/>
  <c r="N352" i="13" s="1"/>
  <c r="L352" i="13"/>
  <c r="I319" i="13"/>
  <c r="N319" i="13" s="1"/>
  <c r="L319" i="13"/>
  <c r="L287" i="13"/>
  <c r="I287" i="13"/>
  <c r="N287" i="13" s="1"/>
  <c r="I176" i="13"/>
  <c r="N176" i="13" s="1"/>
  <c r="L176" i="13"/>
  <c r="I149" i="13"/>
  <c r="N149" i="13" s="1"/>
  <c r="L149" i="13"/>
  <c r="I263" i="13"/>
  <c r="N263" i="13" s="1"/>
  <c r="L263" i="13"/>
  <c r="L304" i="13"/>
  <c r="I304" i="13"/>
  <c r="N304" i="13" s="1"/>
  <c r="I181" i="13"/>
  <c r="N181" i="13" s="1"/>
  <c r="L181" i="13"/>
  <c r="L169" i="13"/>
  <c r="I169" i="13"/>
  <c r="N169" i="13" s="1"/>
  <c r="L222" i="13"/>
  <c r="I222" i="13"/>
  <c r="N222" i="13" s="1"/>
  <c r="I299" i="13"/>
  <c r="N299" i="13" s="1"/>
  <c r="L299" i="13"/>
  <c r="L269" i="13"/>
  <c r="I269" i="13"/>
  <c r="N269" i="13" s="1"/>
  <c r="Q123" i="13"/>
  <c r="G72" i="3" s="1"/>
  <c r="I174" i="13"/>
  <c r="N174" i="13" s="1"/>
  <c r="L174" i="13"/>
  <c r="L143" i="13"/>
  <c r="I143" i="13"/>
  <c r="N143" i="13" s="1"/>
  <c r="L213" i="13"/>
  <c r="I213" i="13"/>
  <c r="N213" i="13" s="1"/>
  <c r="L162" i="13"/>
  <c r="I162" i="13"/>
  <c r="N162" i="13" s="1"/>
  <c r="L248" i="13"/>
  <c r="I248" i="13"/>
  <c r="L268" i="13"/>
  <c r="I268" i="13"/>
  <c r="N268" i="13" s="1"/>
  <c r="L188" i="13"/>
  <c r="I188" i="13"/>
  <c r="N188" i="13" s="1"/>
  <c r="L134" i="13"/>
  <c r="I134" i="13"/>
  <c r="N134" i="13" s="1"/>
  <c r="L261" i="13"/>
  <c r="I261" i="13"/>
  <c r="N261" i="13" s="1"/>
  <c r="L341" i="13"/>
  <c r="I341" i="13"/>
  <c r="N341" i="13" s="1"/>
  <c r="L317" i="13"/>
  <c r="I317" i="13"/>
  <c r="N317" i="13" s="1"/>
  <c r="L249" i="13"/>
  <c r="I249" i="13"/>
  <c r="N249" i="13" s="1"/>
  <c r="I172" i="13"/>
  <c r="N172" i="13" s="1"/>
  <c r="L172" i="13"/>
  <c r="I214" i="13"/>
  <c r="N214" i="13" s="1"/>
  <c r="L214" i="13"/>
  <c r="L193" i="13"/>
  <c r="I193" i="13"/>
  <c r="N193" i="13" s="1"/>
  <c r="I178" i="13"/>
  <c r="N178" i="13" s="1"/>
  <c r="L178" i="13"/>
  <c r="I316" i="13"/>
  <c r="N316" i="13" s="1"/>
  <c r="L316" i="13"/>
  <c r="L305" i="13"/>
  <c r="I305" i="13"/>
  <c r="N305" i="13" s="1"/>
  <c r="I155" i="13"/>
  <c r="N155" i="13" s="1"/>
  <c r="L155" i="13"/>
  <c r="L251" i="13"/>
  <c r="I251" i="13"/>
  <c r="N251" i="13" s="1"/>
  <c r="I337" i="13"/>
  <c r="N337" i="13" s="1"/>
  <c r="L337" i="13"/>
  <c r="L291" i="13"/>
  <c r="I291" i="13"/>
  <c r="N291" i="13" s="1"/>
  <c r="I200" i="13"/>
  <c r="N200" i="13" s="1"/>
  <c r="L200" i="13"/>
  <c r="L254" i="13"/>
  <c r="I254" i="13"/>
  <c r="N254" i="13" s="1"/>
  <c r="I187" i="13"/>
  <c r="N187" i="13" s="1"/>
  <c r="L187" i="13"/>
  <c r="I148" i="13"/>
  <c r="N148" i="13" s="1"/>
  <c r="L148" i="13"/>
  <c r="I266" i="13"/>
  <c r="N266" i="13" s="1"/>
  <c r="L266" i="13"/>
  <c r="L270" i="13"/>
  <c r="I270" i="13"/>
  <c r="N270" i="13" s="1"/>
  <c r="I288" i="13"/>
  <c r="N288" i="13" s="1"/>
  <c r="L288" i="13"/>
  <c r="L255" i="13"/>
  <c r="I255" i="13"/>
  <c r="N255" i="13" s="1"/>
  <c r="L318" i="13"/>
  <c r="I318" i="13"/>
  <c r="N318" i="13" s="1"/>
  <c r="I146" i="13"/>
  <c r="N146" i="13" s="1"/>
  <c r="L146" i="13"/>
  <c r="I215" i="13"/>
  <c r="N215" i="13" s="1"/>
  <c r="L215" i="13"/>
  <c r="L212" i="13"/>
  <c r="I212" i="13"/>
  <c r="N212" i="13" s="1"/>
  <c r="I166" i="13"/>
  <c r="N166" i="13" s="1"/>
  <c r="L166" i="13"/>
  <c r="L226" i="13"/>
  <c r="I226" i="13"/>
  <c r="N226" i="13" s="1"/>
  <c r="L284" i="13"/>
  <c r="I284" i="13"/>
  <c r="N284" i="13" s="1"/>
  <c r="L338" i="13"/>
  <c r="I338" i="13"/>
  <c r="N338" i="13" s="1"/>
  <c r="L343" i="13"/>
  <c r="I343" i="13"/>
  <c r="N343" i="13" s="1"/>
  <c r="L307" i="13"/>
  <c r="I307" i="13"/>
  <c r="N307" i="13" s="1"/>
  <c r="L262" i="13"/>
  <c r="I262" i="13"/>
  <c r="N262" i="13" s="1"/>
  <c r="L159" i="13"/>
  <c r="I159" i="13"/>
  <c r="N159" i="13" s="1"/>
  <c r="I168" i="13"/>
  <c r="N168" i="13" s="1"/>
  <c r="L168" i="13"/>
  <c r="L136" i="13"/>
  <c r="I136" i="13"/>
  <c r="N136" i="13" s="1"/>
  <c r="I301" i="13"/>
  <c r="N301" i="13" s="1"/>
  <c r="L301" i="13"/>
  <c r="L332" i="13"/>
  <c r="I332" i="13"/>
  <c r="N332" i="13" s="1"/>
  <c r="L264" i="13"/>
  <c r="I264" i="13"/>
  <c r="N264" i="13" s="1"/>
  <c r="I336" i="13"/>
  <c r="N336" i="13" s="1"/>
  <c r="L336" i="13"/>
  <c r="L286" i="13"/>
  <c r="I286" i="13"/>
  <c r="N286" i="13" s="1"/>
  <c r="I129" i="13"/>
  <c r="L129" i="13"/>
  <c r="L208" i="13"/>
  <c r="I208" i="13"/>
  <c r="N208" i="13" s="1"/>
  <c r="L158" i="13"/>
  <c r="I158" i="13"/>
  <c r="N158" i="13" s="1"/>
  <c r="L230" i="13"/>
  <c r="I230" i="13"/>
  <c r="N230" i="13" s="1"/>
  <c r="L315" i="13"/>
  <c r="I315" i="13"/>
  <c r="N315" i="13" s="1"/>
  <c r="L344" i="13"/>
  <c r="I344" i="13"/>
  <c r="N344" i="13" s="1"/>
  <c r="L267" i="13"/>
  <c r="I267" i="13"/>
  <c r="N267" i="13" s="1"/>
  <c r="L330" i="13"/>
  <c r="I330" i="13"/>
  <c r="N330" i="13" s="1"/>
  <c r="L302" i="13"/>
  <c r="I302" i="13"/>
  <c r="N302" i="13" s="1"/>
  <c r="L278" i="13"/>
  <c r="I278" i="13"/>
  <c r="N278" i="13" s="1"/>
  <c r="I167" i="13"/>
  <c r="N167" i="13" s="1"/>
  <c r="L167" i="13"/>
  <c r="L209" i="13"/>
  <c r="I209" i="13"/>
  <c r="N209" i="13" s="1"/>
  <c r="I180" i="13"/>
  <c r="N180" i="13" s="1"/>
  <c r="L180" i="13"/>
  <c r="L147" i="13"/>
  <c r="I147" i="13"/>
  <c r="N147" i="13" s="1"/>
  <c r="I229" i="13"/>
  <c r="N229" i="13" s="1"/>
  <c r="L229" i="13"/>
  <c r="L232" i="13"/>
  <c r="I232" i="13"/>
  <c r="N232" i="13" s="1"/>
  <c r="L272" i="13"/>
  <c r="I272" i="13"/>
  <c r="N272" i="13" s="1"/>
  <c r="L206" i="13"/>
  <c r="I206" i="13"/>
  <c r="N206" i="13" s="1"/>
  <c r="I275" i="13"/>
  <c r="N275" i="13" s="1"/>
  <c r="L275" i="13"/>
  <c r="L300" i="13"/>
  <c r="I300" i="13"/>
  <c r="N300" i="13" s="1"/>
  <c r="L271" i="13"/>
  <c r="I271" i="13"/>
  <c r="N271" i="13" s="1"/>
  <c r="I333" i="13"/>
  <c r="N333" i="13" s="1"/>
  <c r="L333" i="13"/>
  <c r="L211" i="13"/>
  <c r="I211" i="13"/>
  <c r="N211" i="13" s="1"/>
  <c r="I170" i="13"/>
  <c r="N170" i="13" s="1"/>
  <c r="L170" i="13"/>
  <c r="L202" i="13"/>
  <c r="I202" i="13"/>
  <c r="N202" i="13" s="1"/>
  <c r="L156" i="13"/>
  <c r="I156" i="13"/>
  <c r="N156" i="13" s="1"/>
  <c r="L259" i="13"/>
  <c r="I259" i="13"/>
  <c r="N259" i="13" s="1"/>
  <c r="I310" i="13"/>
  <c r="N310" i="13" s="1"/>
  <c r="L310" i="13"/>
  <c r="L335" i="13"/>
  <c r="I335" i="13"/>
  <c r="N335" i="13" s="1"/>
  <c r="L274" i="13"/>
  <c r="I274" i="13"/>
  <c r="N274" i="13" s="1"/>
  <c r="L205" i="13"/>
  <c r="I205" i="13"/>
  <c r="N205" i="13" s="1"/>
  <c r="I219" i="13"/>
  <c r="N219" i="13" s="1"/>
  <c r="L219" i="13"/>
  <c r="L164" i="13"/>
  <c r="I164" i="13"/>
  <c r="N164" i="13" s="1"/>
  <c r="I137" i="13"/>
  <c r="N137" i="13" s="1"/>
  <c r="L137" i="13"/>
  <c r="I201" i="13"/>
  <c r="N201" i="13" s="1"/>
  <c r="L201" i="13"/>
  <c r="L296" i="13"/>
  <c r="I296" i="13"/>
  <c r="N296" i="13" s="1"/>
  <c r="L346" i="13"/>
  <c r="I346" i="13"/>
  <c r="N346" i="13" s="1"/>
  <c r="L276" i="13"/>
  <c r="I276" i="13"/>
  <c r="N276" i="13" s="1"/>
  <c r="L292" i="13"/>
  <c r="I292" i="13"/>
  <c r="N292" i="13" s="1"/>
  <c r="L325" i="13"/>
  <c r="I325" i="13"/>
  <c r="N325" i="13" s="1"/>
  <c r="L157" i="13"/>
  <c r="I157" i="13"/>
  <c r="N157" i="13" s="1"/>
  <c r="I194" i="13"/>
  <c r="N194" i="13" s="1"/>
  <c r="L194" i="13"/>
  <c r="L133" i="13"/>
  <c r="I133" i="13"/>
  <c r="N133" i="13" s="1"/>
  <c r="L197" i="13"/>
  <c r="I197" i="13"/>
  <c r="N197" i="13" s="1"/>
  <c r="L179" i="13"/>
  <c r="I179" i="13"/>
  <c r="N179" i="13" s="1"/>
  <c r="L132" i="13"/>
  <c r="I132" i="13"/>
  <c r="N132" i="13" s="1"/>
  <c r="L329" i="13"/>
  <c r="I329" i="13"/>
  <c r="N329" i="13" s="1"/>
  <c r="L324" i="13"/>
  <c r="I324" i="13"/>
  <c r="N324" i="13" s="1"/>
  <c r="L253" i="13"/>
  <c r="I253" i="13"/>
  <c r="N253" i="13" s="1"/>
  <c r="L175" i="13"/>
  <c r="I175" i="13"/>
  <c r="N175" i="13" s="1"/>
  <c r="I189" i="13"/>
  <c r="N189" i="13" s="1"/>
  <c r="L189" i="13"/>
  <c r="L351" i="13"/>
  <c r="I351" i="13"/>
  <c r="N351" i="13" s="1"/>
  <c r="I279" i="13"/>
  <c r="N279" i="13" s="1"/>
  <c r="L279" i="13"/>
  <c r="I195" i="13"/>
  <c r="N195" i="13" s="1"/>
  <c r="L195" i="13"/>
  <c r="L161" i="13"/>
  <c r="I161" i="13"/>
  <c r="N161" i="13" s="1"/>
  <c r="I185" i="13"/>
  <c r="N185" i="13" s="1"/>
  <c r="L185" i="13"/>
  <c r="I216" i="13"/>
  <c r="N216" i="13" s="1"/>
  <c r="L216" i="13"/>
  <c r="I306" i="13"/>
  <c r="N306" i="13" s="1"/>
  <c r="L306" i="13"/>
  <c r="I314" i="13"/>
  <c r="N314" i="13" s="1"/>
  <c r="L314" i="13"/>
  <c r="I283" i="13"/>
  <c r="N283" i="13" s="1"/>
  <c r="L283" i="13"/>
  <c r="L165" i="13"/>
  <c r="I165" i="13"/>
  <c r="N165" i="13" s="1"/>
  <c r="L182" i="13"/>
  <c r="I182" i="13"/>
  <c r="N182" i="13" s="1"/>
  <c r="L223" i="13"/>
  <c r="I223" i="13"/>
  <c r="N223" i="13" s="1"/>
  <c r="L308" i="13"/>
  <c r="I308" i="13"/>
  <c r="N308" i="13" s="1"/>
  <c r="L327" i="13"/>
  <c r="I327" i="13"/>
  <c r="N327" i="13" s="1"/>
  <c r="L309" i="13"/>
  <c r="I309" i="13"/>
  <c r="N309" i="13" s="1"/>
  <c r="L347" i="13"/>
  <c r="I347" i="13"/>
  <c r="N347" i="13" s="1"/>
  <c r="L198" i="13"/>
  <c r="I198" i="13"/>
  <c r="N198" i="13" s="1"/>
  <c r="I203" i="13"/>
  <c r="N203" i="13" s="1"/>
  <c r="L203" i="13"/>
  <c r="L135" i="13"/>
  <c r="I135" i="13"/>
  <c r="N135" i="13" s="1"/>
  <c r="I30" i="13"/>
  <c r="N30" i="13" s="1"/>
  <c r="L11" i="13"/>
  <c r="L20" i="13"/>
  <c r="I15" i="13"/>
  <c r="N15" i="13" s="1"/>
  <c r="I16" i="13"/>
  <c r="N16" i="13" s="1"/>
  <c r="I28" i="13"/>
  <c r="N28" i="13" s="1"/>
  <c r="L14" i="13"/>
  <c r="I22" i="13"/>
  <c r="N22" i="13" s="1"/>
  <c r="I17" i="13"/>
  <c r="N17" i="13" s="1"/>
  <c r="Q4" i="13"/>
  <c r="F72" i="3" s="1"/>
  <c r="I57" i="13"/>
  <c r="N57" i="13" s="1"/>
  <c r="L57" i="13"/>
  <c r="L49" i="13"/>
  <c r="I49" i="13"/>
  <c r="N49" i="13" s="1"/>
  <c r="I61" i="13"/>
  <c r="N61" i="13" s="1"/>
  <c r="L61" i="13"/>
  <c r="I58" i="13"/>
  <c r="N58" i="13" s="1"/>
  <c r="L58" i="13"/>
  <c r="L76" i="13"/>
  <c r="I76" i="13"/>
  <c r="N76" i="13" s="1"/>
  <c r="L42" i="13"/>
  <c r="I42" i="13"/>
  <c r="N42" i="13" s="1"/>
  <c r="I110" i="13"/>
  <c r="N110" i="13" s="1"/>
  <c r="L110" i="13"/>
  <c r="L36" i="13"/>
  <c r="I36" i="13"/>
  <c r="N36" i="13" s="1"/>
  <c r="L107" i="13"/>
  <c r="I107" i="13"/>
  <c r="N107" i="13" s="1"/>
  <c r="L108" i="13"/>
  <c r="I108" i="13"/>
  <c r="N108" i="13" s="1"/>
  <c r="L106" i="13"/>
  <c r="I106" i="13"/>
  <c r="N106" i="13" s="1"/>
  <c r="L97" i="13"/>
  <c r="I97" i="13"/>
  <c r="N97" i="13" s="1"/>
  <c r="L80" i="13"/>
  <c r="I80" i="13"/>
  <c r="N80" i="13" s="1"/>
  <c r="L86" i="13"/>
  <c r="I86" i="13"/>
  <c r="N86" i="13" s="1"/>
  <c r="L52" i="13"/>
  <c r="I52" i="13"/>
  <c r="N52" i="13" s="1"/>
  <c r="I69" i="13"/>
  <c r="N69" i="13" s="1"/>
  <c r="L69" i="13"/>
  <c r="I77" i="13"/>
  <c r="N77" i="13" s="1"/>
  <c r="L77" i="13"/>
  <c r="L75" i="13"/>
  <c r="I75" i="13"/>
  <c r="N75" i="13" s="1"/>
  <c r="I93" i="13"/>
  <c r="N93" i="13" s="1"/>
  <c r="L93" i="13"/>
  <c r="I53" i="13"/>
  <c r="N53" i="13" s="1"/>
  <c r="L53" i="13"/>
  <c r="L82" i="13"/>
  <c r="I82" i="13"/>
  <c r="N82" i="13" s="1"/>
  <c r="L50" i="13"/>
  <c r="I50" i="13"/>
  <c r="N50" i="13" s="1"/>
  <c r="L38" i="13"/>
  <c r="I38" i="13"/>
  <c r="N38" i="13" s="1"/>
  <c r="L44" i="13"/>
  <c r="I44" i="13"/>
  <c r="N44" i="13" s="1"/>
  <c r="L63" i="13"/>
  <c r="I63" i="13"/>
  <c r="N63" i="13" s="1"/>
  <c r="L100" i="13"/>
  <c r="I100" i="13"/>
  <c r="N100" i="13" s="1"/>
  <c r="L71" i="13"/>
  <c r="I71" i="13"/>
  <c r="N71" i="13" s="1"/>
  <c r="L51" i="13"/>
  <c r="I51" i="13"/>
  <c r="N51" i="13" s="1"/>
  <c r="L79" i="13"/>
  <c r="I79" i="13"/>
  <c r="N79" i="13" s="1"/>
  <c r="I99" i="13"/>
  <c r="N99" i="13" s="1"/>
  <c r="L99" i="13"/>
  <c r="I67" i="13"/>
  <c r="N67" i="13" s="1"/>
  <c r="L67" i="13"/>
  <c r="L55" i="13"/>
  <c r="I55" i="13"/>
  <c r="N55" i="13" s="1"/>
  <c r="I73" i="13"/>
  <c r="N73" i="13" s="1"/>
  <c r="L73" i="13"/>
  <c r="L56" i="13"/>
  <c r="I56" i="13"/>
  <c r="N56" i="13" s="1"/>
  <c r="L54" i="13"/>
  <c r="I54" i="13"/>
  <c r="N54" i="13" s="1"/>
  <c r="L102" i="13"/>
  <c r="I102" i="13"/>
  <c r="N102" i="13" s="1"/>
  <c r="I89" i="13"/>
  <c r="N89" i="13" s="1"/>
  <c r="L89" i="13"/>
  <c r="L40" i="13"/>
  <c r="I40" i="13"/>
  <c r="N40" i="13" s="1"/>
  <c r="L32" i="13"/>
  <c r="I32" i="13"/>
  <c r="N32" i="13" s="1"/>
  <c r="L64" i="13"/>
  <c r="I64" i="13"/>
  <c r="N64" i="13" s="1"/>
  <c r="L81" i="13"/>
  <c r="I81" i="13"/>
  <c r="N81" i="13" s="1"/>
  <c r="L96" i="13"/>
  <c r="I96" i="13"/>
  <c r="N96" i="13" s="1"/>
  <c r="L59" i="13"/>
  <c r="I59" i="13"/>
  <c r="N59" i="13" s="1"/>
  <c r="L62" i="13"/>
  <c r="I62" i="13"/>
  <c r="N62" i="13" s="1"/>
  <c r="L98" i="13"/>
  <c r="I98" i="13"/>
  <c r="N98" i="13" s="1"/>
  <c r="I78" i="13"/>
  <c r="N78" i="13" s="1"/>
  <c r="L78" i="13"/>
  <c r="L60" i="13"/>
  <c r="I60" i="13"/>
  <c r="N60" i="13" s="1"/>
  <c r="L91" i="13"/>
  <c r="I91" i="13"/>
  <c r="N91" i="13" s="1"/>
  <c r="L104" i="13"/>
  <c r="I104" i="13"/>
  <c r="N104" i="13" s="1"/>
  <c r="I37" i="13"/>
  <c r="N37" i="13" s="1"/>
  <c r="L37" i="13"/>
  <c r="L68" i="13"/>
  <c r="I68" i="13"/>
  <c r="N68" i="13" s="1"/>
  <c r="L83" i="13"/>
  <c r="I83" i="13"/>
  <c r="N83" i="13" s="1"/>
  <c r="L34" i="13"/>
  <c r="I34" i="13"/>
  <c r="N34" i="13" s="1"/>
  <c r="L74" i="13"/>
  <c r="I74" i="13"/>
  <c r="N74" i="13" s="1"/>
  <c r="I85" i="13"/>
  <c r="N85" i="13" s="1"/>
  <c r="L85" i="13"/>
  <c r="L33" i="13"/>
  <c r="I33" i="13"/>
  <c r="N33" i="13" s="1"/>
  <c r="L48" i="13"/>
  <c r="I48" i="13"/>
  <c r="N48" i="13" s="1"/>
  <c r="L66" i="13"/>
  <c r="I66" i="13"/>
  <c r="N66" i="13" s="1"/>
  <c r="N10" i="13"/>
  <c r="J10" i="13"/>
  <c r="L92" i="13"/>
  <c r="I92" i="13"/>
  <c r="N92" i="13" s="1"/>
  <c r="I46" i="13"/>
  <c r="N46" i="13" s="1"/>
  <c r="L46" i="13"/>
  <c r="L113" i="13"/>
  <c r="I113" i="13"/>
  <c r="N113" i="13" s="1"/>
  <c r="L65" i="13"/>
  <c r="I65" i="13"/>
  <c r="N65" i="13" s="1"/>
  <c r="I35" i="13"/>
  <c r="N35" i="13" s="1"/>
  <c r="L35" i="13"/>
  <c r="L39" i="13"/>
  <c r="I39" i="13"/>
  <c r="N39" i="13" s="1"/>
  <c r="L94" i="13"/>
  <c r="I94" i="13"/>
  <c r="N94" i="13" s="1"/>
  <c r="L114" i="13"/>
  <c r="I114" i="13"/>
  <c r="N114" i="13" s="1"/>
  <c r="L47" i="13"/>
  <c r="I47" i="13"/>
  <c r="N47" i="13" s="1"/>
  <c r="L72" i="13"/>
  <c r="I72" i="13"/>
  <c r="N72" i="13" s="1"/>
  <c r="L103" i="13"/>
  <c r="I103" i="13"/>
  <c r="N103" i="13" s="1"/>
  <c r="L87" i="13"/>
  <c r="I87" i="13"/>
  <c r="N87" i="13" s="1"/>
  <c r="L88" i="13"/>
  <c r="I88" i="13"/>
  <c r="N88" i="13" s="1"/>
  <c r="L95" i="13"/>
  <c r="I95" i="13"/>
  <c r="N95" i="13" s="1"/>
  <c r="I101" i="13"/>
  <c r="N101" i="13" s="1"/>
  <c r="L101" i="13"/>
  <c r="I45" i="13"/>
  <c r="N45" i="13" s="1"/>
  <c r="L45" i="13"/>
  <c r="L84" i="13"/>
  <c r="I84" i="13"/>
  <c r="N84" i="13" s="1"/>
  <c r="L70" i="13"/>
  <c r="I70" i="13"/>
  <c r="N70" i="13" s="1"/>
  <c r="L111" i="13"/>
  <c r="I111" i="13"/>
  <c r="N111" i="13" s="1"/>
  <c r="I105" i="13"/>
  <c r="N105" i="13" s="1"/>
  <c r="L105" i="13"/>
  <c r="L90" i="13"/>
  <c r="I90" i="13"/>
  <c r="N90" i="13" s="1"/>
  <c r="I41" i="13"/>
  <c r="N41" i="13" s="1"/>
  <c r="L41" i="13"/>
  <c r="I109" i="13"/>
  <c r="N109" i="13" s="1"/>
  <c r="L109" i="13"/>
  <c r="L43" i="13"/>
  <c r="I43" i="13"/>
  <c r="N43" i="13" s="1"/>
  <c r="L112" i="13"/>
  <c r="I112" i="13"/>
  <c r="N112" i="13" s="1"/>
  <c r="K89" i="14" l="1"/>
  <c r="K134" i="14"/>
  <c r="L84" i="14"/>
  <c r="L85" i="14"/>
  <c r="L130" i="14"/>
  <c r="L129" i="14"/>
  <c r="M127" i="14"/>
  <c r="N125" i="14"/>
  <c r="M126" i="14"/>
  <c r="M82" i="14"/>
  <c r="M81" i="14"/>
  <c r="N80" i="14"/>
  <c r="L39" i="14"/>
  <c r="L40" i="14"/>
  <c r="K44" i="14"/>
  <c r="N35" i="14"/>
  <c r="M37" i="14"/>
  <c r="M36" i="14"/>
  <c r="O121" i="13"/>
  <c r="J129" i="13"/>
  <c r="N129" i="13"/>
  <c r="N124" i="13" s="1"/>
  <c r="G71" i="3" s="1"/>
  <c r="N248" i="13"/>
  <c r="N243" i="13" s="1"/>
  <c r="H71" i="3" s="1"/>
  <c r="J248" i="13"/>
  <c r="O240" i="13"/>
  <c r="O2" i="13"/>
  <c r="K10" i="13"/>
  <c r="J11" i="13"/>
  <c r="N5" i="13"/>
  <c r="F71" i="3" s="1"/>
  <c r="E22" i="14" s="1"/>
  <c r="F80" i="1" l="1"/>
  <c r="L134" i="14"/>
  <c r="L89" i="14"/>
  <c r="M39" i="14"/>
  <c r="M40" i="14"/>
  <c r="L44" i="14"/>
  <c r="M85" i="14"/>
  <c r="M84" i="14"/>
  <c r="O35" i="14"/>
  <c r="N36" i="14"/>
  <c r="N37" i="14"/>
  <c r="O80" i="14"/>
  <c r="N82" i="14"/>
  <c r="N81" i="14"/>
  <c r="N127" i="14"/>
  <c r="N126" i="14"/>
  <c r="O125" i="14"/>
  <c r="M129" i="14"/>
  <c r="M130" i="14"/>
  <c r="H73" i="3"/>
  <c r="H107" i="7" s="1"/>
  <c r="H109" i="7" s="1"/>
  <c r="E112" i="14"/>
  <c r="G73" i="3"/>
  <c r="H59" i="7" s="1"/>
  <c r="H61" i="7" s="1"/>
  <c r="H62" i="7" s="1"/>
  <c r="H65" i="7" s="1"/>
  <c r="E67" i="14"/>
  <c r="J130" i="13"/>
  <c r="K129" i="13"/>
  <c r="J249" i="13"/>
  <c r="K248" i="13"/>
  <c r="E38" i="14"/>
  <c r="F73" i="3"/>
  <c r="H11" i="7" s="1"/>
  <c r="H13" i="7" s="1"/>
  <c r="H14" i="7" s="1"/>
  <c r="H17" i="7" s="1"/>
  <c r="K11" i="13"/>
  <c r="J12" i="13"/>
  <c r="N130" i="14" l="1"/>
  <c r="N129" i="14"/>
  <c r="M134" i="14"/>
  <c r="O127" i="14"/>
  <c r="O126" i="14"/>
  <c r="O128" i="14" s="1"/>
  <c r="P125" i="14"/>
  <c r="N84" i="14"/>
  <c r="N85" i="14"/>
  <c r="P35" i="14"/>
  <c r="O36" i="14"/>
  <c r="O37" i="14"/>
  <c r="N39" i="14"/>
  <c r="N40" i="14"/>
  <c r="O82" i="14"/>
  <c r="P80" i="14"/>
  <c r="O81" i="14"/>
  <c r="O83" i="14" s="1"/>
  <c r="M89" i="14"/>
  <c r="M44" i="14"/>
  <c r="H63" i="7"/>
  <c r="H64" i="7" s="1"/>
  <c r="H83" i="14"/>
  <c r="H90" i="14" s="1"/>
  <c r="L83" i="14"/>
  <c r="L90" i="14" s="1"/>
  <c r="G83" i="14"/>
  <c r="G90" i="14" s="1"/>
  <c r="I83" i="14"/>
  <c r="I90" i="14" s="1"/>
  <c r="M83" i="14"/>
  <c r="E83" i="14"/>
  <c r="E90" i="14" s="1"/>
  <c r="K83" i="14"/>
  <c r="K90" i="14" s="1"/>
  <c r="F83" i="14"/>
  <c r="F90" i="14" s="1"/>
  <c r="J83" i="14"/>
  <c r="J90" i="14" s="1"/>
  <c r="N83" i="14"/>
  <c r="F128" i="14"/>
  <c r="F135" i="14" s="1"/>
  <c r="J128" i="14"/>
  <c r="J135" i="14" s="1"/>
  <c r="N128" i="14"/>
  <c r="I128" i="14"/>
  <c r="I135" i="14" s="1"/>
  <c r="G128" i="14"/>
  <c r="G135" i="14" s="1"/>
  <c r="K128" i="14"/>
  <c r="K135" i="14" s="1"/>
  <c r="M128" i="14"/>
  <c r="E128" i="14"/>
  <c r="E135" i="14" s="1"/>
  <c r="H128" i="14"/>
  <c r="H135" i="14" s="1"/>
  <c r="L128" i="14"/>
  <c r="L135" i="14" s="1"/>
  <c r="K249" i="13"/>
  <c r="J250" i="13"/>
  <c r="J131" i="13"/>
  <c r="K130" i="13"/>
  <c r="H110" i="7"/>
  <c r="H113" i="7" s="1"/>
  <c r="H111" i="7"/>
  <c r="H112" i="7" s="1"/>
  <c r="H114" i="7" s="1"/>
  <c r="H15" i="7"/>
  <c r="H16" i="7" s="1"/>
  <c r="H18" i="7" s="1"/>
  <c r="K12" i="13"/>
  <c r="J13" i="13"/>
  <c r="G38" i="14"/>
  <c r="G45" i="14" s="1"/>
  <c r="M38" i="14"/>
  <c r="H38" i="14"/>
  <c r="H45" i="14" s="1"/>
  <c r="K38" i="14"/>
  <c r="K45" i="14" s="1"/>
  <c r="L38" i="14"/>
  <c r="L45" i="14" s="1"/>
  <c r="E45" i="14"/>
  <c r="J38" i="14"/>
  <c r="J45" i="14" s="1"/>
  <c r="J47" i="14" s="1"/>
  <c r="N38" i="14"/>
  <c r="F38" i="14"/>
  <c r="F45" i="14" s="1"/>
  <c r="O38" i="14"/>
  <c r="I38" i="14"/>
  <c r="I45" i="14" s="1"/>
  <c r="M45" i="14" l="1"/>
  <c r="M47" i="14" s="1"/>
  <c r="H66" i="7"/>
  <c r="H70" i="7" s="1"/>
  <c r="H69" i="7" s="1"/>
  <c r="H71" i="7" s="1"/>
  <c r="H73" i="7" s="1"/>
  <c r="H79" i="7" s="1"/>
  <c r="G74" i="3" s="1"/>
  <c r="G75" i="3" s="1"/>
  <c r="M135" i="14"/>
  <c r="M138" i="14" s="1"/>
  <c r="M90" i="14"/>
  <c r="M92" i="14" s="1"/>
  <c r="N134" i="14"/>
  <c r="N135" i="14" s="1"/>
  <c r="N44" i="14"/>
  <c r="N45" i="14" s="1"/>
  <c r="N47" i="14" s="1"/>
  <c r="P82" i="14"/>
  <c r="Q80" i="14"/>
  <c r="P81" i="14"/>
  <c r="P83" i="14" s="1"/>
  <c r="O39" i="14"/>
  <c r="O40" i="14"/>
  <c r="N89" i="14"/>
  <c r="N90" i="14" s="1"/>
  <c r="O129" i="14"/>
  <c r="O130" i="14"/>
  <c r="O84" i="14"/>
  <c r="O85" i="14"/>
  <c r="P127" i="14"/>
  <c r="Q125" i="14"/>
  <c r="P126" i="14"/>
  <c r="P128" i="14" s="1"/>
  <c r="P37" i="14"/>
  <c r="Q35" i="14"/>
  <c r="P36" i="14"/>
  <c r="P38" i="14" s="1"/>
  <c r="E137" i="14"/>
  <c r="E138" i="14"/>
  <c r="F138" i="14"/>
  <c r="F137" i="14"/>
  <c r="K92" i="14"/>
  <c r="K93" i="14"/>
  <c r="H92" i="14"/>
  <c r="H93" i="14"/>
  <c r="K138" i="14"/>
  <c r="K137" i="14"/>
  <c r="J93" i="14"/>
  <c r="J92" i="14"/>
  <c r="E92" i="14"/>
  <c r="E93" i="14"/>
  <c r="I93" i="14"/>
  <c r="I92" i="14"/>
  <c r="L138" i="14"/>
  <c r="L137" i="14"/>
  <c r="G138" i="14"/>
  <c r="G137" i="14"/>
  <c r="F93" i="14"/>
  <c r="F92" i="14"/>
  <c r="H138" i="14"/>
  <c r="H137" i="14"/>
  <c r="I137" i="14"/>
  <c r="I138" i="14"/>
  <c r="J138" i="14"/>
  <c r="J137" i="14"/>
  <c r="G93" i="14"/>
  <c r="G92" i="14"/>
  <c r="L93" i="14"/>
  <c r="L92" i="14"/>
  <c r="H118" i="7"/>
  <c r="H117" i="7" s="1"/>
  <c r="H119" i="7" s="1"/>
  <c r="H121" i="7" s="1"/>
  <c r="H127" i="7" s="1"/>
  <c r="H74" i="3" s="1"/>
  <c r="H75" i="3" s="1"/>
  <c r="J132" i="13"/>
  <c r="K131" i="13"/>
  <c r="J251" i="13"/>
  <c r="K250" i="13"/>
  <c r="H22" i="7"/>
  <c r="H21" i="7" s="1"/>
  <c r="H23" i="7" s="1"/>
  <c r="H25" i="7" s="1"/>
  <c r="H31" i="7" s="1"/>
  <c r="J48" i="14"/>
  <c r="J50" i="14" s="1"/>
  <c r="J51" i="14" s="1"/>
  <c r="H47" i="14"/>
  <c r="H48" i="14"/>
  <c r="G47" i="14"/>
  <c r="G48" i="14"/>
  <c r="J14" i="13"/>
  <c r="K13" i="13"/>
  <c r="E47" i="14"/>
  <c r="E48" i="14"/>
  <c r="F48" i="14"/>
  <c r="F47" i="14"/>
  <c r="L47" i="14"/>
  <c r="L48" i="14"/>
  <c r="I47" i="14"/>
  <c r="I48" i="14"/>
  <c r="K47" i="14"/>
  <c r="K48" i="14"/>
  <c r="M48" i="14" l="1"/>
  <c r="M50" i="14" s="1"/>
  <c r="M93" i="14"/>
  <c r="M95" i="14" s="1"/>
  <c r="M96" i="14" s="1"/>
  <c r="M97" i="14" s="1"/>
  <c r="M99" i="14" s="1"/>
  <c r="M137" i="14"/>
  <c r="M140" i="14" s="1"/>
  <c r="N138" i="14"/>
  <c r="N137" i="14"/>
  <c r="N48" i="14"/>
  <c r="N50" i="14" s="1"/>
  <c r="N93" i="14"/>
  <c r="N92" i="14"/>
  <c r="Q126" i="14"/>
  <c r="Q128" i="14" s="1"/>
  <c r="Q127" i="14"/>
  <c r="R125" i="14"/>
  <c r="Q36" i="14"/>
  <c r="Q38" i="14" s="1"/>
  <c r="Q37" i="14"/>
  <c r="R35" i="14"/>
  <c r="P130" i="14"/>
  <c r="P129" i="14"/>
  <c r="P40" i="14"/>
  <c r="P39" i="14"/>
  <c r="O134" i="14"/>
  <c r="O135" i="14" s="1"/>
  <c r="P84" i="14"/>
  <c r="P85" i="14"/>
  <c r="Q81" i="14"/>
  <c r="Q83" i="14" s="1"/>
  <c r="Q82" i="14"/>
  <c r="R80" i="14"/>
  <c r="O89" i="14"/>
  <c r="O90" i="14" s="1"/>
  <c r="O44" i="14"/>
  <c r="O45" i="14" s="1"/>
  <c r="O47" i="14" s="1"/>
  <c r="I140" i="14"/>
  <c r="I141" i="14" s="1"/>
  <c r="I142" i="14" s="1"/>
  <c r="I144" i="14" s="1"/>
  <c r="E95" i="14"/>
  <c r="E96" i="14" s="1"/>
  <c r="E97" i="14" s="1"/>
  <c r="E99" i="14" s="1"/>
  <c r="E100" i="14" s="1"/>
  <c r="E103" i="14" s="1"/>
  <c r="H95" i="14"/>
  <c r="H96" i="14" s="1"/>
  <c r="H97" i="14" s="1"/>
  <c r="H99" i="14" s="1"/>
  <c r="E140" i="14"/>
  <c r="E141" i="14" s="1"/>
  <c r="E142" i="14" s="1"/>
  <c r="E144" i="14" s="1"/>
  <c r="E145" i="14" s="1"/>
  <c r="E148" i="14" s="1"/>
  <c r="K95" i="14"/>
  <c r="K96" i="14" s="1"/>
  <c r="K97" i="14" s="1"/>
  <c r="K99" i="14" s="1"/>
  <c r="L95" i="14"/>
  <c r="L96" i="14" s="1"/>
  <c r="L97" i="14" s="1"/>
  <c r="L99" i="14" s="1"/>
  <c r="H140" i="14"/>
  <c r="G140" i="14"/>
  <c r="L140" i="14"/>
  <c r="K140" i="14"/>
  <c r="G95" i="14"/>
  <c r="G96" i="14" s="1"/>
  <c r="G97" i="14" s="1"/>
  <c r="G99" i="14" s="1"/>
  <c r="J140" i="14"/>
  <c r="F95" i="14"/>
  <c r="F96" i="14" s="1"/>
  <c r="F97" i="14" s="1"/>
  <c r="F99" i="14" s="1"/>
  <c r="I95" i="14"/>
  <c r="I96" i="14" s="1"/>
  <c r="I97" i="14" s="1"/>
  <c r="I99" i="14" s="1"/>
  <c r="J95" i="14"/>
  <c r="J96" i="14" s="1"/>
  <c r="J97" i="14" s="1"/>
  <c r="J99" i="14" s="1"/>
  <c r="F140" i="14"/>
  <c r="J133" i="13"/>
  <c r="K132" i="13"/>
  <c r="K251" i="13"/>
  <c r="J252" i="13"/>
  <c r="F74" i="3"/>
  <c r="F75" i="3" s="1"/>
  <c r="F93" i="1" s="1"/>
  <c r="F50" i="14"/>
  <c r="J52" i="14"/>
  <c r="J54" i="14" s="1"/>
  <c r="I50" i="14"/>
  <c r="G50" i="14"/>
  <c r="K50" i="14"/>
  <c r="L50" i="14"/>
  <c r="E50" i="14"/>
  <c r="K14" i="13"/>
  <c r="J15" i="13"/>
  <c r="H50" i="14"/>
  <c r="O48" i="14" l="1"/>
  <c r="O50" i="14" s="1"/>
  <c r="O51" i="14" s="1"/>
  <c r="O52" i="14" s="1"/>
  <c r="O54" i="14" s="1"/>
  <c r="N140" i="14"/>
  <c r="N141" i="14" s="1"/>
  <c r="N142" i="14" s="1"/>
  <c r="N144" i="14" s="1"/>
  <c r="P134" i="14"/>
  <c r="P135" i="14" s="1"/>
  <c r="P138" i="14" s="1"/>
  <c r="N95" i="14"/>
  <c r="N96" i="14" s="1"/>
  <c r="N97" i="14" s="1"/>
  <c r="N99" i="14" s="1"/>
  <c r="M101" i="14" s="1"/>
  <c r="M104" i="14" s="1"/>
  <c r="R82" i="14"/>
  <c r="S80" i="14"/>
  <c r="R81" i="14"/>
  <c r="R83" i="14" s="1"/>
  <c r="P89" i="14"/>
  <c r="P90" i="14" s="1"/>
  <c r="Q130" i="14"/>
  <c r="Q129" i="14"/>
  <c r="Q85" i="14"/>
  <c r="Q84" i="14"/>
  <c r="O138" i="14"/>
  <c r="O137" i="14"/>
  <c r="Q39" i="14"/>
  <c r="Q40" i="14"/>
  <c r="O93" i="14"/>
  <c r="O92" i="14"/>
  <c r="P44" i="14"/>
  <c r="P45" i="14" s="1"/>
  <c r="S35" i="14"/>
  <c r="R36" i="14"/>
  <c r="R38" i="14" s="1"/>
  <c r="R37" i="14"/>
  <c r="R127" i="14"/>
  <c r="R126" i="14"/>
  <c r="R128" i="14" s="1"/>
  <c r="S125" i="14"/>
  <c r="H100" i="14"/>
  <c r="H103" i="14" s="1"/>
  <c r="H101" i="14"/>
  <c r="H104" i="14" s="1"/>
  <c r="K101" i="14"/>
  <c r="K104" i="14" s="1"/>
  <c r="J100" i="14"/>
  <c r="J103" i="14" s="1"/>
  <c r="J141" i="14"/>
  <c r="J142" i="14" s="1"/>
  <c r="J144" i="14" s="1"/>
  <c r="H141" i="14"/>
  <c r="H142" i="14" s="1"/>
  <c r="H144" i="14" s="1"/>
  <c r="I145" i="14" s="1"/>
  <c r="I148" i="14" s="1"/>
  <c r="I101" i="14"/>
  <c r="I104" i="14" s="1"/>
  <c r="I100" i="14"/>
  <c r="I103" i="14" s="1"/>
  <c r="F101" i="14"/>
  <c r="F104" i="14" s="1"/>
  <c r="F100" i="14"/>
  <c r="F103" i="14" s="1"/>
  <c r="L141" i="14"/>
  <c r="L142" i="14" s="1"/>
  <c r="L144" i="14" s="1"/>
  <c r="F141" i="14"/>
  <c r="F142" i="14" s="1"/>
  <c r="F144" i="14" s="1"/>
  <c r="K100" i="14"/>
  <c r="K103" i="14" s="1"/>
  <c r="M141" i="14"/>
  <c r="M142" i="14" s="1"/>
  <c r="M144" i="14" s="1"/>
  <c r="G141" i="14"/>
  <c r="G142" i="14" s="1"/>
  <c r="G144" i="14" s="1"/>
  <c r="G101" i="14"/>
  <c r="G104" i="14" s="1"/>
  <c r="G100" i="14"/>
  <c r="G103" i="14" s="1"/>
  <c r="K141" i="14"/>
  <c r="K142" i="14" s="1"/>
  <c r="K144" i="14" s="1"/>
  <c r="L100" i="14"/>
  <c r="L103" i="14" s="1"/>
  <c r="L101" i="14"/>
  <c r="L104" i="14" s="1"/>
  <c r="J101" i="14"/>
  <c r="J104" i="14" s="1"/>
  <c r="M100" i="14"/>
  <c r="M103" i="14" s="1"/>
  <c r="L51" i="14"/>
  <c r="L52" i="14" s="1"/>
  <c r="L54" i="14" s="1"/>
  <c r="I51" i="14"/>
  <c r="I52" i="14" s="1"/>
  <c r="I54" i="14" s="1"/>
  <c r="F51" i="14"/>
  <c r="F52" i="14" s="1"/>
  <c r="F54" i="14" s="1"/>
  <c r="M51" i="14"/>
  <c r="M52" i="14" s="1"/>
  <c r="M54" i="14" s="1"/>
  <c r="N51" i="14"/>
  <c r="N52" i="14" s="1"/>
  <c r="N54" i="14" s="1"/>
  <c r="H51" i="14"/>
  <c r="H52" i="14" s="1"/>
  <c r="H54" i="14" s="1"/>
  <c r="K51" i="14"/>
  <c r="K52" i="14" s="1"/>
  <c r="K54" i="14" s="1"/>
  <c r="G51" i="14"/>
  <c r="G52" i="14" s="1"/>
  <c r="G54" i="14" s="1"/>
  <c r="E51" i="14"/>
  <c r="E52" i="14" s="1"/>
  <c r="E54" i="14" s="1"/>
  <c r="J253" i="13"/>
  <c r="K252" i="13"/>
  <c r="J134" i="13"/>
  <c r="K133" i="13"/>
  <c r="K15" i="13"/>
  <c r="J16" i="13"/>
  <c r="P137" i="14" l="1"/>
  <c r="P140" i="14" s="1"/>
  <c r="P141" i="14" s="1"/>
  <c r="P142" i="14" s="1"/>
  <c r="P144" i="14" s="1"/>
  <c r="Q89" i="14"/>
  <c r="Q90" i="14" s="1"/>
  <c r="Q93" i="14" s="1"/>
  <c r="N100" i="14"/>
  <c r="N103" i="14" s="1"/>
  <c r="T35" i="14"/>
  <c r="S37" i="14"/>
  <c r="S36" i="14"/>
  <c r="S38" i="14" s="1"/>
  <c r="R130" i="14"/>
  <c r="R129" i="14"/>
  <c r="P47" i="14"/>
  <c r="P48" i="14"/>
  <c r="R40" i="14"/>
  <c r="R39" i="14"/>
  <c r="Q44" i="14"/>
  <c r="Q45" i="14" s="1"/>
  <c r="S82" i="14"/>
  <c r="S81" i="14"/>
  <c r="S83" i="14" s="1"/>
  <c r="T80" i="14"/>
  <c r="P92" i="14"/>
  <c r="P93" i="14"/>
  <c r="T125" i="14"/>
  <c r="S127" i="14"/>
  <c r="S126" i="14"/>
  <c r="S128" i="14" s="1"/>
  <c r="O95" i="14"/>
  <c r="O96" i="14" s="1"/>
  <c r="O97" i="14" s="1"/>
  <c r="O99" i="14" s="1"/>
  <c r="O140" i="14"/>
  <c r="O141" i="14" s="1"/>
  <c r="O142" i="14" s="1"/>
  <c r="O144" i="14" s="1"/>
  <c r="N146" i="14" s="1"/>
  <c r="N149" i="14" s="1"/>
  <c r="Q134" i="14"/>
  <c r="Q135" i="14" s="1"/>
  <c r="R84" i="14"/>
  <c r="R85" i="14"/>
  <c r="O55" i="14"/>
  <c r="O58" i="14" s="1"/>
  <c r="N145" i="14"/>
  <c r="N148" i="14" s="1"/>
  <c r="M146" i="14"/>
  <c r="M149" i="14" s="1"/>
  <c r="M145" i="14"/>
  <c r="M148" i="14" s="1"/>
  <c r="K146" i="14"/>
  <c r="K149" i="14" s="1"/>
  <c r="K145" i="14"/>
  <c r="K148" i="14" s="1"/>
  <c r="G145" i="14"/>
  <c r="G148" i="14" s="1"/>
  <c r="G146" i="14"/>
  <c r="G149" i="14" s="1"/>
  <c r="L145" i="14"/>
  <c r="L148" i="14" s="1"/>
  <c r="L146" i="14"/>
  <c r="L149" i="14" s="1"/>
  <c r="J146" i="14"/>
  <c r="J149" i="14" s="1"/>
  <c r="J145" i="14"/>
  <c r="J148" i="14" s="1"/>
  <c r="I146" i="14"/>
  <c r="I149" i="14" s="1"/>
  <c r="F146" i="14"/>
  <c r="F149" i="14" s="1"/>
  <c r="F145" i="14"/>
  <c r="F148" i="14" s="1"/>
  <c r="H145" i="14"/>
  <c r="H148" i="14" s="1"/>
  <c r="H146" i="14"/>
  <c r="H149" i="14" s="1"/>
  <c r="G56" i="14"/>
  <c r="G59" i="14" s="1"/>
  <c r="G55" i="14"/>
  <c r="G58" i="14" s="1"/>
  <c r="F56" i="14"/>
  <c r="F59" i="14" s="1"/>
  <c r="J56" i="14"/>
  <c r="J59" i="14" s="1"/>
  <c r="K55" i="14"/>
  <c r="K58" i="14" s="1"/>
  <c r="K56" i="14"/>
  <c r="K59" i="14" s="1"/>
  <c r="H55" i="14"/>
  <c r="H58" i="14" s="1"/>
  <c r="H56" i="14"/>
  <c r="H59" i="14" s="1"/>
  <c r="I55" i="14"/>
  <c r="I58" i="14" s="1"/>
  <c r="J55" i="14"/>
  <c r="J58" i="14" s="1"/>
  <c r="I56" i="14"/>
  <c r="I59" i="14" s="1"/>
  <c r="M56" i="14"/>
  <c r="M59" i="14" s="1"/>
  <c r="M55" i="14"/>
  <c r="M58" i="14" s="1"/>
  <c r="N55" i="14"/>
  <c r="N58" i="14" s="1"/>
  <c r="N56" i="14"/>
  <c r="N59" i="14" s="1"/>
  <c r="L55" i="14"/>
  <c r="L58" i="14" s="1"/>
  <c r="L56" i="14"/>
  <c r="L59" i="14" s="1"/>
  <c r="E55" i="14"/>
  <c r="E58" i="14" s="1"/>
  <c r="F55" i="14"/>
  <c r="F58" i="14" s="1"/>
  <c r="J135" i="13"/>
  <c r="K134" i="13"/>
  <c r="J254" i="13"/>
  <c r="K253" i="13"/>
  <c r="K16" i="13"/>
  <c r="J17" i="13"/>
  <c r="Q92" i="14" l="1"/>
  <c r="Q95" i="14" s="1"/>
  <c r="Q96" i="14" s="1"/>
  <c r="Q97" i="14" s="1"/>
  <c r="Q99" i="14" s="1"/>
  <c r="O145" i="14"/>
  <c r="O148" i="14" s="1"/>
  <c r="R89" i="14"/>
  <c r="R90" i="14" s="1"/>
  <c r="R93" i="14" s="1"/>
  <c r="P50" i="14"/>
  <c r="P51" i="14" s="1"/>
  <c r="P52" i="14" s="1"/>
  <c r="P54" i="14" s="1"/>
  <c r="P55" i="14" s="1"/>
  <c r="P58" i="14" s="1"/>
  <c r="P95" i="14"/>
  <c r="P96" i="14" s="1"/>
  <c r="P97" i="14" s="1"/>
  <c r="P99" i="14" s="1"/>
  <c r="O101" i="14" s="1"/>
  <c r="O104" i="14" s="1"/>
  <c r="T127" i="14"/>
  <c r="U125" i="14"/>
  <c r="T126" i="14"/>
  <c r="T128" i="14" s="1"/>
  <c r="S39" i="14"/>
  <c r="S40" i="14"/>
  <c r="O146" i="14"/>
  <c r="O149" i="14" s="1"/>
  <c r="O100" i="14"/>
  <c r="O103" i="14" s="1"/>
  <c r="N101" i="14"/>
  <c r="N104" i="14" s="1"/>
  <c r="S84" i="14"/>
  <c r="S85" i="14"/>
  <c r="R134" i="14"/>
  <c r="R135" i="14" s="1"/>
  <c r="T36" i="14"/>
  <c r="T38" i="14" s="1"/>
  <c r="U35" i="14"/>
  <c r="T37" i="14"/>
  <c r="P145" i="14"/>
  <c r="P148" i="14" s="1"/>
  <c r="Q47" i="14"/>
  <c r="Q48" i="14"/>
  <c r="Q138" i="14"/>
  <c r="Q137" i="14"/>
  <c r="S129" i="14"/>
  <c r="S130" i="14"/>
  <c r="U80" i="14"/>
  <c r="T81" i="14"/>
  <c r="T83" i="14" s="1"/>
  <c r="T82" i="14"/>
  <c r="R44" i="14"/>
  <c r="R45" i="14" s="1"/>
  <c r="J136" i="13"/>
  <c r="K135" i="13"/>
  <c r="J255" i="13"/>
  <c r="K254" i="13"/>
  <c r="K17" i="13"/>
  <c r="J18" i="13"/>
  <c r="R92" i="14" l="1"/>
  <c r="R95" i="14" s="1"/>
  <c r="R96" i="14" s="1"/>
  <c r="R97" i="14" s="1"/>
  <c r="R99" i="14" s="1"/>
  <c r="P100" i="14"/>
  <c r="P103" i="14" s="1"/>
  <c r="Q100" i="14"/>
  <c r="Q103" i="14" s="1"/>
  <c r="Q140" i="14"/>
  <c r="Q141" i="14" s="1"/>
  <c r="Q142" i="14" s="1"/>
  <c r="Q144" i="14" s="1"/>
  <c r="Q145" i="14" s="1"/>
  <c r="Q148" i="14" s="1"/>
  <c r="O56" i="14"/>
  <c r="O59" i="14" s="1"/>
  <c r="P101" i="14"/>
  <c r="P104" i="14" s="1"/>
  <c r="U126" i="14"/>
  <c r="U128" i="14" s="1"/>
  <c r="U127" i="14"/>
  <c r="V125" i="14"/>
  <c r="Q50" i="14"/>
  <c r="Q51" i="14" s="1"/>
  <c r="Q52" i="14" s="1"/>
  <c r="Q54" i="14" s="1"/>
  <c r="P56" i="14" s="1"/>
  <c r="P59" i="14" s="1"/>
  <c r="R138" i="14"/>
  <c r="R137" i="14"/>
  <c r="S44" i="14"/>
  <c r="S45" i="14" s="1"/>
  <c r="T40" i="14"/>
  <c r="T39" i="14"/>
  <c r="U82" i="14"/>
  <c r="U81" i="14"/>
  <c r="U83" i="14" s="1"/>
  <c r="V80" i="14"/>
  <c r="T130" i="14"/>
  <c r="T129" i="14"/>
  <c r="R47" i="14"/>
  <c r="R48" i="14"/>
  <c r="T85" i="14"/>
  <c r="T84" i="14"/>
  <c r="S134" i="14"/>
  <c r="S135" i="14" s="1"/>
  <c r="U37" i="14"/>
  <c r="V35" i="14"/>
  <c r="U36" i="14"/>
  <c r="U38" i="14" s="1"/>
  <c r="S89" i="14"/>
  <c r="S90" i="14" s="1"/>
  <c r="K136" i="13"/>
  <c r="J137" i="13"/>
  <c r="J256" i="13"/>
  <c r="K255" i="13"/>
  <c r="K18" i="13"/>
  <c r="J19" i="13"/>
  <c r="P146" i="14" l="1"/>
  <c r="P149" i="14" s="1"/>
  <c r="T89" i="14"/>
  <c r="T90" i="14" s="1"/>
  <c r="T93" i="14" s="1"/>
  <c r="T134" i="14"/>
  <c r="T135" i="14" s="1"/>
  <c r="T137" i="14" s="1"/>
  <c r="T44" i="14"/>
  <c r="T45" i="14" s="1"/>
  <c r="T47" i="14" s="1"/>
  <c r="R140" i="14"/>
  <c r="R141" i="14" s="1"/>
  <c r="R142" i="14" s="1"/>
  <c r="R144" i="14" s="1"/>
  <c r="Q146" i="14" s="1"/>
  <c r="Q149" i="14" s="1"/>
  <c r="Q55" i="14"/>
  <c r="Q58" i="14" s="1"/>
  <c r="R100" i="14"/>
  <c r="R103" i="14" s="1"/>
  <c r="Q101" i="14"/>
  <c r="Q104" i="14" s="1"/>
  <c r="V37" i="14"/>
  <c r="W35" i="14"/>
  <c r="V36" i="14"/>
  <c r="V38" i="14" s="1"/>
  <c r="U85" i="14"/>
  <c r="U84" i="14"/>
  <c r="U129" i="14"/>
  <c r="U130" i="14"/>
  <c r="U39" i="14"/>
  <c r="U40" i="14"/>
  <c r="R50" i="14"/>
  <c r="R51" i="14" s="1"/>
  <c r="R52" i="14" s="1"/>
  <c r="R54" i="14" s="1"/>
  <c r="V82" i="14"/>
  <c r="W80" i="14"/>
  <c r="V81" i="14"/>
  <c r="V83" i="14" s="1"/>
  <c r="S92" i="14"/>
  <c r="S93" i="14"/>
  <c r="S138" i="14"/>
  <c r="S137" i="14"/>
  <c r="S47" i="14"/>
  <c r="S48" i="14"/>
  <c r="W125" i="14"/>
  <c r="V126" i="14"/>
  <c r="V128" i="14" s="1"/>
  <c r="V127" i="14"/>
  <c r="J257" i="13"/>
  <c r="K256" i="13"/>
  <c r="J138" i="13"/>
  <c r="K137" i="13"/>
  <c r="K19" i="13"/>
  <c r="J20" i="13"/>
  <c r="T138" i="14" l="1"/>
  <c r="T140" i="14" s="1"/>
  <c r="T141" i="14" s="1"/>
  <c r="T142" i="14" s="1"/>
  <c r="T144" i="14" s="1"/>
  <c r="T92" i="14"/>
  <c r="T95" i="14" s="1"/>
  <c r="T96" i="14" s="1"/>
  <c r="T97" i="14" s="1"/>
  <c r="T99" i="14" s="1"/>
  <c r="S140" i="14"/>
  <c r="S141" i="14" s="1"/>
  <c r="S142" i="14" s="1"/>
  <c r="S144" i="14" s="1"/>
  <c r="R146" i="14" s="1"/>
  <c r="R149" i="14" s="1"/>
  <c r="R145" i="14"/>
  <c r="R148" i="14" s="1"/>
  <c r="T48" i="14"/>
  <c r="T50" i="14" s="1"/>
  <c r="T51" i="14" s="1"/>
  <c r="T52" i="14" s="1"/>
  <c r="T54" i="14" s="1"/>
  <c r="U134" i="14"/>
  <c r="U135" i="14" s="1"/>
  <c r="U138" i="14" s="1"/>
  <c r="U44" i="14"/>
  <c r="U45" i="14" s="1"/>
  <c r="S50" i="14"/>
  <c r="S51" i="14" s="1"/>
  <c r="S52" i="14" s="1"/>
  <c r="S54" i="14" s="1"/>
  <c r="S55" i="14" s="1"/>
  <c r="S58" i="14" s="1"/>
  <c r="V40" i="14"/>
  <c r="V39" i="14"/>
  <c r="V129" i="14"/>
  <c r="V130" i="14"/>
  <c r="V84" i="14"/>
  <c r="V85" i="14"/>
  <c r="W81" i="14"/>
  <c r="W83" i="14" s="1"/>
  <c r="X80" i="14"/>
  <c r="W82" i="14"/>
  <c r="Q56" i="14"/>
  <c r="Q59" i="14" s="1"/>
  <c r="R55" i="14"/>
  <c r="R58" i="14" s="1"/>
  <c r="W127" i="14"/>
  <c r="W126" i="14"/>
  <c r="W128" i="14" s="1"/>
  <c r="X125" i="14"/>
  <c r="S95" i="14"/>
  <c r="S96" i="14" s="1"/>
  <c r="S97" i="14" s="1"/>
  <c r="S99" i="14" s="1"/>
  <c r="U89" i="14"/>
  <c r="U90" i="14" s="1"/>
  <c r="W37" i="14"/>
  <c r="W36" i="14"/>
  <c r="W38" i="14" s="1"/>
  <c r="X35" i="14"/>
  <c r="J139" i="13"/>
  <c r="K138" i="13"/>
  <c r="J258" i="13"/>
  <c r="K257" i="13"/>
  <c r="K20" i="13"/>
  <c r="J21" i="13"/>
  <c r="T145" i="14" l="1"/>
  <c r="T148" i="14" s="1"/>
  <c r="U137" i="14"/>
  <c r="U140" i="14" s="1"/>
  <c r="U141" i="14" s="1"/>
  <c r="U142" i="14" s="1"/>
  <c r="U144" i="14" s="1"/>
  <c r="S145" i="14"/>
  <c r="S148" i="14" s="1"/>
  <c r="S146" i="14"/>
  <c r="S149" i="14" s="1"/>
  <c r="U47" i="14"/>
  <c r="U48" i="14"/>
  <c r="V44" i="14"/>
  <c r="V45" i="14" s="1"/>
  <c r="R56" i="14"/>
  <c r="R59" i="14" s="1"/>
  <c r="T100" i="14"/>
  <c r="T103" i="14" s="1"/>
  <c r="W85" i="14"/>
  <c r="W84" i="14"/>
  <c r="U93" i="14"/>
  <c r="U92" i="14"/>
  <c r="X81" i="14"/>
  <c r="X83" i="14" s="1"/>
  <c r="X82" i="14"/>
  <c r="V134" i="14"/>
  <c r="V135" i="14" s="1"/>
  <c r="W39" i="14"/>
  <c r="W40" i="14"/>
  <c r="X127" i="14"/>
  <c r="X126" i="14"/>
  <c r="X128" i="14" s="1"/>
  <c r="X36" i="14"/>
  <c r="X38" i="14" s="1"/>
  <c r="X37" i="14"/>
  <c r="W130" i="14"/>
  <c r="W129" i="14"/>
  <c r="S101" i="14"/>
  <c r="S104" i="14" s="1"/>
  <c r="S100" i="14"/>
  <c r="S103" i="14" s="1"/>
  <c r="R101" i="14"/>
  <c r="R104" i="14" s="1"/>
  <c r="V89" i="14"/>
  <c r="V90" i="14" s="1"/>
  <c r="S56" i="14"/>
  <c r="S59" i="14" s="1"/>
  <c r="T55" i="14"/>
  <c r="T58" i="14" s="1"/>
  <c r="K258" i="13"/>
  <c r="J259" i="13"/>
  <c r="J140" i="13"/>
  <c r="K139" i="13"/>
  <c r="J22" i="13"/>
  <c r="K21" i="13"/>
  <c r="W89" i="14" l="1"/>
  <c r="W90" i="14" s="1"/>
  <c r="W92" i="14" s="1"/>
  <c r="W134" i="14"/>
  <c r="W135" i="14" s="1"/>
  <c r="W137" i="14" s="1"/>
  <c r="W44" i="14"/>
  <c r="W45" i="14" s="1"/>
  <c r="V48" i="14"/>
  <c r="V47" i="14"/>
  <c r="U50" i="14"/>
  <c r="U51" i="14" s="1"/>
  <c r="U52" i="14" s="1"/>
  <c r="U54" i="14" s="1"/>
  <c r="T56" i="14" s="1"/>
  <c r="T59" i="14" s="1"/>
  <c r="U95" i="14"/>
  <c r="U96" i="14" s="1"/>
  <c r="U97" i="14" s="1"/>
  <c r="U99" i="14" s="1"/>
  <c r="U100" i="14" s="1"/>
  <c r="U103" i="14" s="1"/>
  <c r="U145" i="14"/>
  <c r="U148" i="14" s="1"/>
  <c r="T146" i="14"/>
  <c r="T149" i="14" s="1"/>
  <c r="X129" i="14"/>
  <c r="X130" i="14"/>
  <c r="V138" i="14"/>
  <c r="V137" i="14"/>
  <c r="V92" i="14"/>
  <c r="V93" i="14"/>
  <c r="X40" i="14"/>
  <c r="X39" i="14"/>
  <c r="X85" i="14"/>
  <c r="X84" i="14"/>
  <c r="J141" i="13"/>
  <c r="K140" i="13"/>
  <c r="J260" i="13"/>
  <c r="K259" i="13"/>
  <c r="K22" i="13"/>
  <c r="J23" i="13"/>
  <c r="W138" i="14" l="1"/>
  <c r="W140" i="14" s="1"/>
  <c r="W141" i="14" s="1"/>
  <c r="W142" i="14" s="1"/>
  <c r="W144" i="14" s="1"/>
  <c r="W93" i="14"/>
  <c r="W95" i="14" s="1"/>
  <c r="W96" i="14" s="1"/>
  <c r="W97" i="14" s="1"/>
  <c r="W99" i="14" s="1"/>
  <c r="X44" i="14"/>
  <c r="X45" i="14" s="1"/>
  <c r="X47" i="14" s="1"/>
  <c r="V50" i="14"/>
  <c r="V51" i="14" s="1"/>
  <c r="V52" i="14" s="1"/>
  <c r="V54" i="14" s="1"/>
  <c r="V55" i="14" s="1"/>
  <c r="V58" i="14" s="1"/>
  <c r="U55" i="14"/>
  <c r="U58" i="14" s="1"/>
  <c r="X89" i="14"/>
  <c r="X90" i="14" s="1"/>
  <c r="X93" i="14" s="1"/>
  <c r="V140" i="14"/>
  <c r="V141" i="14" s="1"/>
  <c r="V142" i="14" s="1"/>
  <c r="V144" i="14" s="1"/>
  <c r="W48" i="14"/>
  <c r="W47" i="14"/>
  <c r="V95" i="14"/>
  <c r="V96" i="14" s="1"/>
  <c r="V97" i="14" s="1"/>
  <c r="V99" i="14" s="1"/>
  <c r="T101" i="14"/>
  <c r="T104" i="14" s="1"/>
  <c r="X134" i="14"/>
  <c r="X135" i="14" s="1"/>
  <c r="J261" i="13"/>
  <c r="K260" i="13"/>
  <c r="J142" i="13"/>
  <c r="K141" i="13"/>
  <c r="K23" i="13"/>
  <c r="J24" i="13"/>
  <c r="X48" i="14" l="1"/>
  <c r="X50" i="14" s="1"/>
  <c r="X51" i="14" s="1"/>
  <c r="X52" i="14" s="1"/>
  <c r="X54" i="14" s="1"/>
  <c r="X56" i="14" s="1"/>
  <c r="X59" i="14" s="1"/>
  <c r="V146" i="14"/>
  <c r="V149" i="14" s="1"/>
  <c r="U56" i="14"/>
  <c r="U59" i="14" s="1"/>
  <c r="X92" i="14"/>
  <c r="X95" i="14" s="1"/>
  <c r="X96" i="14" s="1"/>
  <c r="X97" i="14" s="1"/>
  <c r="X99" i="14" s="1"/>
  <c r="X100" i="14" s="1"/>
  <c r="X103" i="14" s="1"/>
  <c r="W50" i="14"/>
  <c r="W51" i="14" s="1"/>
  <c r="W52" i="14" s="1"/>
  <c r="W54" i="14" s="1"/>
  <c r="V56" i="14" s="1"/>
  <c r="V59" i="14" s="1"/>
  <c r="W145" i="14"/>
  <c r="W148" i="14" s="1"/>
  <c r="V145" i="14"/>
  <c r="V148" i="14" s="1"/>
  <c r="U146" i="14"/>
  <c r="U149" i="14" s="1"/>
  <c r="V101" i="14"/>
  <c r="V104" i="14" s="1"/>
  <c r="V100" i="14"/>
  <c r="V103" i="14" s="1"/>
  <c r="U101" i="14"/>
  <c r="U104" i="14" s="1"/>
  <c r="W100" i="14"/>
  <c r="W103" i="14" s="1"/>
  <c r="X138" i="14"/>
  <c r="X137" i="14"/>
  <c r="J143" i="13"/>
  <c r="K142" i="13"/>
  <c r="J262" i="13"/>
  <c r="K261" i="13"/>
  <c r="J25" i="13"/>
  <c r="K24" i="13"/>
  <c r="X55" i="14" l="1"/>
  <c r="X58" i="14" s="1"/>
  <c r="W55" i="14"/>
  <c r="W58" i="14" s="1"/>
  <c r="W56" i="14"/>
  <c r="W59" i="14" s="1"/>
  <c r="I29" i="14" s="1"/>
  <c r="J29" i="14" s="1"/>
  <c r="I73" i="14"/>
  <c r="J73" i="14" s="1"/>
  <c r="X140" i="14"/>
  <c r="X141" i="14" s="1"/>
  <c r="X142" i="14" s="1"/>
  <c r="X144" i="14" s="1"/>
  <c r="X145" i="14" s="1"/>
  <c r="X148" i="14" s="1"/>
  <c r="I118" i="14" s="1"/>
  <c r="J118" i="14" s="1"/>
  <c r="W101" i="14"/>
  <c r="W104" i="14" s="1"/>
  <c r="X101" i="14"/>
  <c r="X104" i="14" s="1"/>
  <c r="K262" i="13"/>
  <c r="J263" i="13"/>
  <c r="J144" i="13"/>
  <c r="K143" i="13"/>
  <c r="K25" i="13"/>
  <c r="J26" i="13"/>
  <c r="I28" i="14" l="1"/>
  <c r="J28" i="14" s="1"/>
  <c r="F87" i="1" s="1"/>
  <c r="X146" i="14"/>
  <c r="X149" i="14" s="1"/>
  <c r="W146" i="14"/>
  <c r="W149" i="14" s="1"/>
  <c r="I74" i="14"/>
  <c r="J74" i="14" s="1"/>
  <c r="J145" i="13"/>
  <c r="K144" i="13"/>
  <c r="J264" i="13"/>
  <c r="K263" i="13"/>
  <c r="K26" i="13"/>
  <c r="J27" i="13"/>
  <c r="I119" i="14" l="1"/>
  <c r="J119" i="14" s="1"/>
  <c r="F88" i="1" s="1"/>
  <c r="J265" i="13"/>
  <c r="K264" i="13"/>
  <c r="J146" i="13"/>
  <c r="K145" i="13"/>
  <c r="K27" i="13"/>
  <c r="J28" i="13"/>
  <c r="J147" i="13" l="1"/>
  <c r="K146" i="13"/>
  <c r="J266" i="13"/>
  <c r="K265" i="13"/>
  <c r="K28" i="13"/>
  <c r="J29" i="13"/>
  <c r="J267" i="13" l="1"/>
  <c r="K266" i="13"/>
  <c r="J148" i="13"/>
  <c r="K147" i="13"/>
  <c r="J30" i="13"/>
  <c r="K29" i="13"/>
  <c r="J149" i="13" l="1"/>
  <c r="K148" i="13"/>
  <c r="J268" i="13"/>
  <c r="K267" i="13"/>
  <c r="K30" i="13"/>
  <c r="J31" i="13"/>
  <c r="J269" i="13" l="1"/>
  <c r="K268" i="13"/>
  <c r="J150" i="13"/>
  <c r="K149" i="13"/>
  <c r="K31" i="13"/>
  <c r="J32" i="13"/>
  <c r="J151" i="13" l="1"/>
  <c r="K150" i="13"/>
  <c r="J270" i="13"/>
  <c r="K269" i="13"/>
  <c r="K32" i="13"/>
  <c r="J33" i="13"/>
  <c r="J271" i="13" l="1"/>
  <c r="K270" i="13"/>
  <c r="K151" i="13"/>
  <c r="J152" i="13"/>
  <c r="K33" i="13"/>
  <c r="J34" i="13"/>
  <c r="J153" i="13" l="1"/>
  <c r="K152" i="13"/>
  <c r="J272" i="13"/>
  <c r="K271" i="13"/>
  <c r="K34" i="13"/>
  <c r="J35" i="13"/>
  <c r="J273" i="13" l="1"/>
  <c r="K272" i="13"/>
  <c r="J154" i="13"/>
  <c r="K153" i="13"/>
  <c r="K35" i="13"/>
  <c r="J36" i="13"/>
  <c r="J155" i="13" l="1"/>
  <c r="K154" i="13"/>
  <c r="J274" i="13"/>
  <c r="K273" i="13"/>
  <c r="K36" i="13"/>
  <c r="J37" i="13"/>
  <c r="J275" i="13" l="1"/>
  <c r="K274" i="13"/>
  <c r="J156" i="13"/>
  <c r="K155" i="13"/>
  <c r="K37" i="13"/>
  <c r="J38" i="13"/>
  <c r="J157" i="13" l="1"/>
  <c r="K156" i="13"/>
  <c r="K275" i="13"/>
  <c r="J276" i="13"/>
  <c r="K38" i="13"/>
  <c r="J39" i="13"/>
  <c r="J277" i="13" l="1"/>
  <c r="K276" i="13"/>
  <c r="J158" i="13"/>
  <c r="K157" i="13"/>
  <c r="K39" i="13"/>
  <c r="J40" i="13"/>
  <c r="J159" i="13" l="1"/>
  <c r="K158" i="13"/>
  <c r="J278" i="13"/>
  <c r="K277" i="13"/>
  <c r="J41" i="13"/>
  <c r="K40" i="13"/>
  <c r="J279" i="13" l="1"/>
  <c r="K278" i="13"/>
  <c r="J160" i="13"/>
  <c r="K159" i="13"/>
  <c r="K41" i="13"/>
  <c r="J42" i="13"/>
  <c r="J280" i="13" l="1"/>
  <c r="K279" i="13"/>
  <c r="K160" i="13"/>
  <c r="J161" i="13"/>
  <c r="K42" i="13"/>
  <c r="J43" i="13"/>
  <c r="J162" i="13" l="1"/>
  <c r="K161" i="13"/>
  <c r="K280" i="13"/>
  <c r="J281" i="13"/>
  <c r="K43" i="13"/>
  <c r="J44" i="13"/>
  <c r="J282" i="13" l="1"/>
  <c r="K281" i="13"/>
  <c r="J163" i="13"/>
  <c r="K162" i="13"/>
  <c r="K44" i="13"/>
  <c r="J45" i="13"/>
  <c r="J164" i="13" l="1"/>
  <c r="K163" i="13"/>
  <c r="J283" i="13"/>
  <c r="K282" i="13"/>
  <c r="J46" i="13"/>
  <c r="K45" i="13"/>
  <c r="J284" i="13" l="1"/>
  <c r="K283" i="13"/>
  <c r="K164" i="13"/>
  <c r="J165" i="13"/>
  <c r="K46" i="13"/>
  <c r="J47" i="13"/>
  <c r="K165" i="13" l="1"/>
  <c r="J166" i="13"/>
  <c r="J285" i="13"/>
  <c r="K284" i="13"/>
  <c r="K47" i="13"/>
  <c r="J48" i="13"/>
  <c r="J286" i="13" l="1"/>
  <c r="K285" i="13"/>
  <c r="J167" i="13"/>
  <c r="K166" i="13"/>
  <c r="K48" i="13"/>
  <c r="J49" i="13"/>
  <c r="J168" i="13" l="1"/>
  <c r="K167" i="13"/>
  <c r="J287" i="13"/>
  <c r="K286" i="13"/>
  <c r="J50" i="13"/>
  <c r="K49" i="13"/>
  <c r="J169" i="13" l="1"/>
  <c r="K168" i="13"/>
  <c r="J288" i="13"/>
  <c r="K287" i="13"/>
  <c r="K50" i="13"/>
  <c r="J51" i="13"/>
  <c r="J289" i="13" l="1"/>
  <c r="K288" i="13"/>
  <c r="J170" i="13"/>
  <c r="K169" i="13"/>
  <c r="K51" i="13"/>
  <c r="J52" i="13"/>
  <c r="K170" i="13" l="1"/>
  <c r="J171" i="13"/>
  <c r="J290" i="13"/>
  <c r="K289" i="13"/>
  <c r="K52" i="13"/>
  <c r="J53" i="13"/>
  <c r="J291" i="13" l="1"/>
  <c r="K290" i="13"/>
  <c r="J172" i="13"/>
  <c r="K171" i="13"/>
  <c r="K53" i="13"/>
  <c r="J54" i="13"/>
  <c r="J173" i="13" l="1"/>
  <c r="K172" i="13"/>
  <c r="J292" i="13"/>
  <c r="K291" i="13"/>
  <c r="K54" i="13"/>
  <c r="J55" i="13"/>
  <c r="J293" i="13" l="1"/>
  <c r="K292" i="13"/>
  <c r="J174" i="13"/>
  <c r="K173" i="13"/>
  <c r="K55" i="13"/>
  <c r="J56" i="13"/>
  <c r="J175" i="13" l="1"/>
  <c r="K174" i="13"/>
  <c r="J294" i="13"/>
  <c r="K293" i="13"/>
  <c r="J57" i="13"/>
  <c r="K56" i="13"/>
  <c r="J295" i="13" l="1"/>
  <c r="K294" i="13"/>
  <c r="J176" i="13"/>
  <c r="K175" i="13"/>
  <c r="J58" i="13"/>
  <c r="K57" i="13"/>
  <c r="J177" i="13" l="1"/>
  <c r="K176" i="13"/>
  <c r="J296" i="13"/>
  <c r="K295" i="13"/>
  <c r="K58" i="13"/>
  <c r="J59" i="13"/>
  <c r="K296" i="13" l="1"/>
  <c r="J297" i="13"/>
  <c r="J178" i="13"/>
  <c r="K177" i="13"/>
  <c r="K59" i="13"/>
  <c r="J60" i="13"/>
  <c r="K178" i="13" l="1"/>
  <c r="J179" i="13"/>
  <c r="J298" i="13"/>
  <c r="K297" i="13"/>
  <c r="K60" i="13"/>
  <c r="J61" i="13"/>
  <c r="K179" i="13" l="1"/>
  <c r="J180" i="13"/>
  <c r="J299" i="13"/>
  <c r="K298" i="13"/>
  <c r="J62" i="13"/>
  <c r="K61" i="13"/>
  <c r="J300" i="13" l="1"/>
  <c r="K299" i="13"/>
  <c r="J181" i="13"/>
  <c r="K180" i="13"/>
  <c r="K62" i="13"/>
  <c r="J63" i="13"/>
  <c r="J182" i="13" l="1"/>
  <c r="K181" i="13"/>
  <c r="J301" i="13"/>
  <c r="K300" i="13"/>
  <c r="K63" i="13"/>
  <c r="J64" i="13"/>
  <c r="K301" i="13" l="1"/>
  <c r="J302" i="13"/>
  <c r="J183" i="13"/>
  <c r="K182" i="13"/>
  <c r="J65" i="13"/>
  <c r="K64" i="13"/>
  <c r="J184" i="13" l="1"/>
  <c r="K183" i="13"/>
  <c r="J303" i="13"/>
  <c r="K302" i="13"/>
  <c r="K65" i="13"/>
  <c r="J66" i="13"/>
  <c r="J304" i="13" l="1"/>
  <c r="K303" i="13"/>
  <c r="J185" i="13"/>
  <c r="K184" i="13"/>
  <c r="K66" i="13"/>
  <c r="J67" i="13"/>
  <c r="J186" i="13" l="1"/>
  <c r="K185" i="13"/>
  <c r="J305" i="13"/>
  <c r="K304" i="13"/>
  <c r="K67" i="13"/>
  <c r="J68" i="13"/>
  <c r="J306" i="13" l="1"/>
  <c r="K305" i="13"/>
  <c r="J187" i="13"/>
  <c r="K186" i="13"/>
  <c r="K68" i="13"/>
  <c r="J69" i="13"/>
  <c r="K187" i="13" l="1"/>
  <c r="J188" i="13"/>
  <c r="J307" i="13"/>
  <c r="K306" i="13"/>
  <c r="K69" i="13"/>
  <c r="J70" i="13"/>
  <c r="J308" i="13" l="1"/>
  <c r="K307" i="13"/>
  <c r="J189" i="13"/>
  <c r="K188" i="13"/>
  <c r="K70" i="13"/>
  <c r="J71" i="13"/>
  <c r="J190" i="13" l="1"/>
  <c r="K189" i="13"/>
  <c r="J309" i="13"/>
  <c r="K308" i="13"/>
  <c r="K71" i="13"/>
  <c r="J72" i="13"/>
  <c r="J310" i="13" l="1"/>
  <c r="K309" i="13"/>
  <c r="J191" i="13"/>
  <c r="K190" i="13"/>
  <c r="J73" i="13"/>
  <c r="K72" i="13"/>
  <c r="J192" i="13" l="1"/>
  <c r="K191" i="13"/>
  <c r="J311" i="13"/>
  <c r="K310" i="13"/>
  <c r="J74" i="13"/>
  <c r="K73" i="13"/>
  <c r="J312" i="13" l="1"/>
  <c r="K311" i="13"/>
  <c r="J193" i="13"/>
  <c r="K192" i="13"/>
  <c r="K74" i="13"/>
  <c r="J75" i="13"/>
  <c r="J194" i="13" l="1"/>
  <c r="K193" i="13"/>
  <c r="J313" i="13"/>
  <c r="K312" i="13"/>
  <c r="K75" i="13"/>
  <c r="J76" i="13"/>
  <c r="J314" i="13" l="1"/>
  <c r="K313" i="13"/>
  <c r="K194" i="13"/>
  <c r="J195" i="13"/>
  <c r="K76" i="13"/>
  <c r="J77" i="13"/>
  <c r="J196" i="13" l="1"/>
  <c r="K195" i="13"/>
  <c r="J315" i="13"/>
  <c r="K314" i="13"/>
  <c r="K77" i="13"/>
  <c r="J78" i="13"/>
  <c r="J316" i="13" l="1"/>
  <c r="K315" i="13"/>
  <c r="K196" i="13"/>
  <c r="J197" i="13"/>
  <c r="K78" i="13"/>
  <c r="J79" i="13"/>
  <c r="K197" i="13" l="1"/>
  <c r="J198" i="13"/>
  <c r="J317" i="13"/>
  <c r="K316" i="13"/>
  <c r="K79" i="13"/>
  <c r="J80" i="13"/>
  <c r="J318" i="13" l="1"/>
  <c r="K317" i="13"/>
  <c r="J199" i="13"/>
  <c r="K198" i="13"/>
  <c r="K80" i="13"/>
  <c r="J81" i="13"/>
  <c r="J200" i="13" l="1"/>
  <c r="K199" i="13"/>
  <c r="K318" i="13"/>
  <c r="J319" i="13"/>
  <c r="J82" i="13"/>
  <c r="K81" i="13"/>
  <c r="J320" i="13" l="1"/>
  <c r="K319" i="13"/>
  <c r="J201" i="13"/>
  <c r="K200" i="13"/>
  <c r="K82" i="13"/>
  <c r="J83" i="13"/>
  <c r="K201" i="13" l="1"/>
  <c r="J202" i="13"/>
  <c r="J321" i="13"/>
  <c r="K320" i="13"/>
  <c r="K83" i="13"/>
  <c r="J84" i="13"/>
  <c r="J322" i="13" l="1"/>
  <c r="K321" i="13"/>
  <c r="J203" i="13"/>
  <c r="K202" i="13"/>
  <c r="K84" i="13"/>
  <c r="J85" i="13"/>
  <c r="J204" i="13" l="1"/>
  <c r="K203" i="13"/>
  <c r="J323" i="13"/>
  <c r="K322" i="13"/>
  <c r="J86" i="13"/>
  <c r="K85" i="13"/>
  <c r="K323" i="13" l="1"/>
  <c r="J324" i="13"/>
  <c r="K204" i="13"/>
  <c r="J205" i="13"/>
  <c r="K86" i="13"/>
  <c r="J87" i="13"/>
  <c r="J206" i="13" l="1"/>
  <c r="K205" i="13"/>
  <c r="J325" i="13"/>
  <c r="K324" i="13"/>
  <c r="K87" i="13"/>
  <c r="J88" i="13"/>
  <c r="J326" i="13" l="1"/>
  <c r="K325" i="13"/>
  <c r="J207" i="13"/>
  <c r="K206" i="13"/>
  <c r="K88" i="13"/>
  <c r="J89" i="13"/>
  <c r="J208" i="13" l="1"/>
  <c r="K207" i="13"/>
  <c r="K326" i="13"/>
  <c r="J327" i="13"/>
  <c r="K89" i="13"/>
  <c r="J90" i="13"/>
  <c r="J328" i="13" l="1"/>
  <c r="K327" i="13"/>
  <c r="J209" i="13"/>
  <c r="K208" i="13"/>
  <c r="K90" i="13"/>
  <c r="J91" i="13"/>
  <c r="J210" i="13" l="1"/>
  <c r="K209" i="13"/>
  <c r="K328" i="13"/>
  <c r="J329" i="13"/>
  <c r="K91" i="13"/>
  <c r="J92" i="13"/>
  <c r="K329" i="13" l="1"/>
  <c r="J330" i="13"/>
  <c r="J211" i="13"/>
  <c r="K210" i="13"/>
  <c r="K92" i="13"/>
  <c r="J93" i="13"/>
  <c r="K211" i="13" l="1"/>
  <c r="J212" i="13"/>
  <c r="J331" i="13"/>
  <c r="K330" i="13"/>
  <c r="J94" i="13"/>
  <c r="K93" i="13"/>
  <c r="J332" i="13" l="1"/>
  <c r="K331" i="13"/>
  <c r="J213" i="13"/>
  <c r="K212" i="13"/>
  <c r="K94" i="13"/>
  <c r="J95" i="13"/>
  <c r="J214" i="13" l="1"/>
  <c r="K213" i="13"/>
  <c r="J333" i="13"/>
  <c r="K332" i="13"/>
  <c r="K95" i="13"/>
  <c r="J96" i="13"/>
  <c r="J334" i="13" l="1"/>
  <c r="K333" i="13"/>
  <c r="J215" i="13"/>
  <c r="K214" i="13"/>
  <c r="J97" i="13"/>
  <c r="K96" i="13"/>
  <c r="J216" i="13" l="1"/>
  <c r="K215" i="13"/>
  <c r="K334" i="13"/>
  <c r="J335" i="13"/>
  <c r="K97" i="13"/>
  <c r="J98" i="13"/>
  <c r="J336" i="13" l="1"/>
  <c r="K335" i="13"/>
  <c r="J217" i="13"/>
  <c r="K216" i="13"/>
  <c r="K98" i="13"/>
  <c r="J99" i="13"/>
  <c r="J218" i="13" l="1"/>
  <c r="K217" i="13"/>
  <c r="J337" i="13"/>
  <c r="K336" i="13"/>
  <c r="K99" i="13"/>
  <c r="J100" i="13"/>
  <c r="J338" i="13" l="1"/>
  <c r="K337" i="13"/>
  <c r="J219" i="13"/>
  <c r="K218" i="13"/>
  <c r="K100" i="13"/>
  <c r="J101" i="13"/>
  <c r="K219" i="13" l="1"/>
  <c r="J220" i="13"/>
  <c r="J339" i="13"/>
  <c r="K338" i="13"/>
  <c r="K101" i="13"/>
  <c r="J102" i="13"/>
  <c r="J340" i="13" l="1"/>
  <c r="K339" i="13"/>
  <c r="J221" i="13"/>
  <c r="K220" i="13"/>
  <c r="K102" i="13"/>
  <c r="J103" i="13"/>
  <c r="K221" i="13" l="1"/>
  <c r="J222" i="13"/>
  <c r="J341" i="13"/>
  <c r="K340" i="13"/>
  <c r="K103" i="13"/>
  <c r="J104" i="13"/>
  <c r="J342" i="13" l="1"/>
  <c r="K341" i="13"/>
  <c r="J223" i="13"/>
  <c r="K222" i="13"/>
  <c r="J105" i="13"/>
  <c r="K104" i="13"/>
  <c r="K223" i="13" l="1"/>
  <c r="J224" i="13"/>
  <c r="J343" i="13"/>
  <c r="K342" i="13"/>
  <c r="J106" i="13"/>
  <c r="K105" i="13"/>
  <c r="J344" i="13" l="1"/>
  <c r="K343" i="13"/>
  <c r="J225" i="13"/>
  <c r="K224" i="13"/>
  <c r="K106" i="13"/>
  <c r="J107" i="13"/>
  <c r="J226" i="13" l="1"/>
  <c r="K225" i="13"/>
  <c r="J345" i="13"/>
  <c r="K344" i="13"/>
  <c r="K107" i="13"/>
  <c r="J108" i="13"/>
  <c r="J227" i="13" l="1"/>
  <c r="K226" i="13"/>
  <c r="J346" i="13"/>
  <c r="K345" i="13"/>
  <c r="K108" i="13"/>
  <c r="J109" i="13"/>
  <c r="J347" i="13" l="1"/>
  <c r="K346" i="13"/>
  <c r="J228" i="13"/>
  <c r="K227" i="13"/>
  <c r="K109" i="13"/>
  <c r="J110" i="13"/>
  <c r="J229" i="13" l="1"/>
  <c r="K228" i="13"/>
  <c r="J348" i="13"/>
  <c r="K347" i="13"/>
  <c r="K110" i="13"/>
  <c r="J111" i="13"/>
  <c r="J349" i="13" l="1"/>
  <c r="K348" i="13"/>
  <c r="J230" i="13"/>
  <c r="K229" i="13"/>
  <c r="K111" i="13"/>
  <c r="J112" i="13"/>
  <c r="J231" i="13" l="1"/>
  <c r="K230" i="13"/>
  <c r="J350" i="13"/>
  <c r="K349" i="13"/>
  <c r="K112" i="13"/>
  <c r="J113" i="13"/>
  <c r="K350" i="13" l="1"/>
  <c r="J351" i="13"/>
  <c r="J232" i="13"/>
  <c r="K231" i="13"/>
  <c r="J114" i="13"/>
  <c r="K113" i="13"/>
  <c r="J233" i="13" l="1"/>
  <c r="K232" i="13"/>
  <c r="K351" i="13"/>
  <c r="J352" i="13"/>
  <c r="K114" i="13"/>
  <c r="K115" i="13" s="1"/>
  <c r="M2" i="13"/>
  <c r="J133" i="1" l="1"/>
  <c r="M240" i="13"/>
  <c r="H56" i="3" s="1"/>
  <c r="H58" i="3" s="1"/>
  <c r="H59" i="3" s="1"/>
  <c r="K352" i="13"/>
  <c r="K353" i="13" s="1"/>
  <c r="K233" i="13"/>
  <c r="K234" i="13" s="1"/>
  <c r="M121" i="13"/>
  <c r="G56" i="3" s="1"/>
  <c r="G58" i="3" s="1"/>
  <c r="G59" i="3" s="1"/>
  <c r="F56" i="3"/>
  <c r="F58" i="3" s="1"/>
  <c r="F81" i="1" l="1"/>
  <c r="F79" i="1"/>
  <c r="F59" i="3"/>
  <c r="F82" i="1" s="1"/>
  <c r="O45" i="17" l="1"/>
  <c r="O47" i="17" s="1"/>
  <c r="O48" i="17" s="1"/>
  <c r="G45" i="17"/>
  <c r="G47" i="17" s="1"/>
  <c r="G48" i="17" s="1"/>
  <c r="O45" i="18"/>
  <c r="O49" i="18" s="1"/>
  <c r="AM45" i="18"/>
  <c r="AM49" i="18" s="1"/>
  <c r="AE45" i="18"/>
  <c r="AE49" i="18" s="1"/>
  <c r="W45" i="18"/>
  <c r="W49" i="18" s="1"/>
  <c r="BG45" i="17"/>
  <c r="BG47" i="17" s="1"/>
  <c r="BG48" i="17" s="1"/>
  <c r="K45" i="18"/>
  <c r="K49" i="18" s="1"/>
  <c r="K50" i="18" s="1"/>
  <c r="BC45" i="17"/>
  <c r="BC49" i="17" s="1"/>
  <c r="AA45" i="18"/>
  <c r="AA49" i="18" s="1"/>
  <c r="W45" i="17"/>
  <c r="W49" i="17" s="1"/>
  <c r="BK45" i="17"/>
  <c r="BK49" i="17" s="1"/>
  <c r="AU45" i="17"/>
  <c r="AU47" i="17" s="1"/>
  <c r="AU48" i="17" s="1"/>
  <c r="G45" i="18"/>
  <c r="G49" i="18" s="1"/>
  <c r="BW45" i="17"/>
  <c r="BW47" i="17" s="1"/>
  <c r="BW48" i="17" s="1"/>
  <c r="BO45" i="17"/>
  <c r="BO47" i="17" s="1"/>
  <c r="BO48" i="17" s="1"/>
  <c r="AA45" i="17"/>
  <c r="AA49" i="17" s="1"/>
  <c r="BS45" i="17"/>
  <c r="BS49" i="17" s="1"/>
  <c r="AM45" i="17"/>
  <c r="AM49" i="17" s="1"/>
  <c r="AQ45" i="17"/>
  <c r="AQ47" i="17" s="1"/>
  <c r="AQ48" i="17" s="1"/>
  <c r="AY45" i="17"/>
  <c r="AY47" i="17" s="1"/>
  <c r="AY48" i="17" s="1"/>
  <c r="AI45" i="17"/>
  <c r="AI49" i="17" s="1"/>
  <c r="S45" i="17"/>
  <c r="S49" i="17" s="1"/>
  <c r="K45" i="17"/>
  <c r="K47" i="17" s="1"/>
  <c r="K48" i="17" s="1"/>
  <c r="C45" i="17"/>
  <c r="C47" i="17" s="1"/>
  <c r="C48" i="17" s="1"/>
  <c r="S45" i="18"/>
  <c r="S49" i="18" s="1"/>
  <c r="C45" i="18"/>
  <c r="C49" i="18" s="1"/>
  <c r="AE45" i="17"/>
  <c r="AE47" i="17" s="1"/>
  <c r="AE48" i="17" s="1"/>
  <c r="AI45" i="18"/>
  <c r="AI49" i="18" s="1"/>
  <c r="O47" i="18" l="1"/>
  <c r="O48" i="18" s="1"/>
  <c r="BS47" i="17"/>
  <c r="BS48" i="17" s="1"/>
  <c r="AM47" i="17"/>
  <c r="AM48" i="17" s="1"/>
  <c r="C49" i="17"/>
  <c r="C50" i="17" s="1"/>
  <c r="AM47" i="18"/>
  <c r="AM48" i="18" s="1"/>
  <c r="W47" i="17"/>
  <c r="W48" i="17" s="1"/>
  <c r="AQ49" i="17"/>
  <c r="AQ50" i="17" s="1"/>
  <c r="AQ53" i="17" s="1"/>
  <c r="AQ52" i="17" s="1"/>
  <c r="AQ55" i="17" s="1"/>
  <c r="AQ56" i="17" s="1"/>
  <c r="AQ59" i="17" s="1"/>
  <c r="AQ61" i="17" s="1"/>
  <c r="AY49" i="17"/>
  <c r="AY50" i="17" s="1"/>
  <c r="AY53" i="17" s="1"/>
  <c r="AY52" i="17" s="1"/>
  <c r="AY55" i="17" s="1"/>
  <c r="AY56" i="17" s="1"/>
  <c r="AY59" i="17" s="1"/>
  <c r="AY61" i="17" s="1"/>
  <c r="BG49" i="17"/>
  <c r="BG50" i="17" s="1"/>
  <c r="BG53" i="17" s="1"/>
  <c r="BG52" i="17" s="1"/>
  <c r="BG55" i="17" s="1"/>
  <c r="BG56" i="17" s="1"/>
  <c r="BG59" i="17" s="1"/>
  <c r="BG61" i="17" s="1"/>
  <c r="G49" i="17"/>
  <c r="G50" i="17" s="1"/>
  <c r="G53" i="17" s="1"/>
  <c r="G52" i="17" s="1"/>
  <c r="G55" i="17" s="1"/>
  <c r="G56" i="17" s="1"/>
  <c r="G59" i="17" s="1"/>
  <c r="G61" i="17" s="1"/>
  <c r="BK47" i="17"/>
  <c r="BK48" i="17" s="1"/>
  <c r="BC47" i="17"/>
  <c r="BC48" i="17" s="1"/>
  <c r="AU49" i="17"/>
  <c r="AU50" i="17" s="1"/>
  <c r="AU53" i="17" s="1"/>
  <c r="AU52" i="17" s="1"/>
  <c r="AU55" i="17" s="1"/>
  <c r="AU56" i="17" s="1"/>
  <c r="AU59" i="17" s="1"/>
  <c r="AU61" i="17" s="1"/>
  <c r="K49" i="17"/>
  <c r="K50" i="17" s="1"/>
  <c r="K53" i="17" s="1"/>
  <c r="K52" i="17" s="1"/>
  <c r="K55" i="17" s="1"/>
  <c r="K56" i="17" s="1"/>
  <c r="K59" i="17" s="1"/>
  <c r="K61" i="17" s="1"/>
  <c r="AE49" i="17"/>
  <c r="AE50" i="17" s="1"/>
  <c r="AE53" i="17" s="1"/>
  <c r="AE52" i="17" s="1"/>
  <c r="AE55" i="17" s="1"/>
  <c r="AE56" i="17" s="1"/>
  <c r="AE59" i="17" s="1"/>
  <c r="AE61" i="17" s="1"/>
  <c r="AA47" i="17"/>
  <c r="AA48" i="17" s="1"/>
  <c r="C47" i="18"/>
  <c r="C48" i="18" s="1"/>
  <c r="AI47" i="17"/>
  <c r="AI48" i="17" s="1"/>
  <c r="BO49" i="17"/>
  <c r="BO50" i="17" s="1"/>
  <c r="BO53" i="17" s="1"/>
  <c r="BO52" i="17" s="1"/>
  <c r="BO55" i="17" s="1"/>
  <c r="BO56" i="17" s="1"/>
  <c r="BO59" i="17" s="1"/>
  <c r="BO61" i="17" s="1"/>
  <c r="BW49" i="17"/>
  <c r="BW50" i="17" s="1"/>
  <c r="BW53" i="17" s="1"/>
  <c r="BW52" i="17" s="1"/>
  <c r="BW55" i="17" s="1"/>
  <c r="BW56" i="17" s="1"/>
  <c r="BW59" i="17" s="1"/>
  <c r="BW61" i="17" s="1"/>
  <c r="AI47" i="18"/>
  <c r="AI48" i="18" s="1"/>
  <c r="AE47" i="18"/>
  <c r="AE48" i="18" s="1"/>
  <c r="AA47" i="18"/>
  <c r="AA48" i="18" s="1"/>
  <c r="O49" i="17"/>
  <c r="O50" i="17" s="1"/>
  <c r="O53" i="17" s="1"/>
  <c r="O52" i="17" s="1"/>
  <c r="O55" i="17" s="1"/>
  <c r="O56" i="17" s="1"/>
  <c r="O59" i="17" s="1"/>
  <c r="O61" i="17" s="1"/>
  <c r="S47" i="17"/>
  <c r="S48" i="17" s="1"/>
  <c r="S47" i="18"/>
  <c r="S48" i="18" s="1"/>
  <c r="G47" i="18"/>
  <c r="G48" i="18" s="1"/>
  <c r="K47" i="18"/>
  <c r="K48" i="18" s="1"/>
  <c r="W47" i="18"/>
  <c r="W48" i="18" s="1"/>
  <c r="AM50" i="18"/>
  <c r="S50" i="18"/>
  <c r="AE50" i="18"/>
  <c r="G50" i="18"/>
  <c r="AI50" i="18"/>
  <c r="W50" i="18"/>
  <c r="O50" i="18"/>
  <c r="C50" i="18"/>
  <c r="AA50" i="18"/>
  <c r="S50" i="17"/>
  <c r="AM50" i="17"/>
  <c r="AI50" i="17"/>
  <c r="BS50" i="17"/>
  <c r="BS53" i="17" s="1"/>
  <c r="BS52" i="17" s="1"/>
  <c r="BS55" i="17" s="1"/>
  <c r="BS56" i="17" s="1"/>
  <c r="BS59" i="17" s="1"/>
  <c r="BS61" i="17" s="1"/>
  <c r="W50" i="17"/>
  <c r="BK50" i="17"/>
  <c r="AA50" i="17"/>
  <c r="BC50" i="17"/>
  <c r="AM53" i="17" l="1"/>
  <c r="AM52" i="17" s="1"/>
  <c r="AM55" i="17" s="1"/>
  <c r="AM56" i="17" s="1"/>
  <c r="AM59" i="17" s="1"/>
  <c r="AM61" i="17" s="1"/>
  <c r="BH66" i="1" s="1"/>
  <c r="BE66" i="1" s="1"/>
  <c r="O53" i="18"/>
  <c r="O52" i="18" s="1"/>
  <c r="O55" i="18" s="1"/>
  <c r="O56" i="18" s="1"/>
  <c r="O59" i="18" s="1"/>
  <c r="O61" i="18" s="1"/>
  <c r="O63" i="18" s="1"/>
  <c r="W53" i="17"/>
  <c r="W52" i="17" s="1"/>
  <c r="W55" i="17" s="1"/>
  <c r="W56" i="17" s="1"/>
  <c r="W59" i="17" s="1"/>
  <c r="W61" i="17" s="1"/>
  <c r="BH57" i="1" s="1"/>
  <c r="BE57" i="1" s="1"/>
  <c r="AM53" i="18"/>
  <c r="AM52" i="18" s="1"/>
  <c r="AM55" i="18" s="1"/>
  <c r="AM56" i="18" s="1"/>
  <c r="AM59" i="18" s="1"/>
  <c r="AM61" i="18" s="1"/>
  <c r="AM63" i="18" s="1"/>
  <c r="C53" i="17"/>
  <c r="C52" i="17" s="1"/>
  <c r="C55" i="17" s="1"/>
  <c r="C56" i="17" s="1"/>
  <c r="C59" i="17" s="1"/>
  <c r="C61" i="17" s="1"/>
  <c r="BK53" i="17"/>
  <c r="BK52" i="17" s="1"/>
  <c r="BK55" i="17" s="1"/>
  <c r="BK56" i="17" s="1"/>
  <c r="BK59" i="17" s="1"/>
  <c r="BK61" i="17" s="1"/>
  <c r="BK63" i="17" s="1"/>
  <c r="BC53" i="17"/>
  <c r="BC52" i="17" s="1"/>
  <c r="BC55" i="17" s="1"/>
  <c r="BC56" i="17" s="1"/>
  <c r="BC59" i="17" s="1"/>
  <c r="BC61" i="17" s="1"/>
  <c r="BC63" i="17" s="1"/>
  <c r="S53" i="17"/>
  <c r="S52" i="17" s="1"/>
  <c r="S55" i="17" s="1"/>
  <c r="S56" i="17" s="1"/>
  <c r="S59" i="17" s="1"/>
  <c r="S61" i="17" s="1"/>
  <c r="AA53" i="18"/>
  <c r="AA52" i="18" s="1"/>
  <c r="AA55" i="18" s="1"/>
  <c r="AA56" i="18" s="1"/>
  <c r="AA59" i="18" s="1"/>
  <c r="AA61" i="18" s="1"/>
  <c r="AA63" i="18" s="1"/>
  <c r="AA53" i="17"/>
  <c r="AA52" i="17" s="1"/>
  <c r="AA55" i="17" s="1"/>
  <c r="AA56" i="17" s="1"/>
  <c r="AA59" i="17" s="1"/>
  <c r="AA61" i="17" s="1"/>
  <c r="BH67" i="1" s="1"/>
  <c r="BE67" i="1" s="1"/>
  <c r="AI53" i="17"/>
  <c r="AI52" i="17" s="1"/>
  <c r="AI55" i="17" s="1"/>
  <c r="AI56" i="17" s="1"/>
  <c r="AI59" i="17" s="1"/>
  <c r="AI61" i="17" s="1"/>
  <c r="AI63" i="17" s="1"/>
  <c r="C53" i="18"/>
  <c r="C52" i="18" s="1"/>
  <c r="C55" i="18" s="1"/>
  <c r="C56" i="18" s="1"/>
  <c r="C59" i="18" s="1"/>
  <c r="C61" i="18" s="1"/>
  <c r="C63" i="18" s="1"/>
  <c r="AI53" i="18"/>
  <c r="AI52" i="18" s="1"/>
  <c r="AI55" i="18" s="1"/>
  <c r="AI56" i="18" s="1"/>
  <c r="AI59" i="18" s="1"/>
  <c r="AI61" i="18" s="1"/>
  <c r="AI63" i="18" s="1"/>
  <c r="AE53" i="18"/>
  <c r="AE52" i="18" s="1"/>
  <c r="AE55" i="18" s="1"/>
  <c r="AE56" i="18" s="1"/>
  <c r="AE59" i="18" s="1"/>
  <c r="AE61" i="18" s="1"/>
  <c r="AE63" i="18" s="1"/>
  <c r="S53" i="18"/>
  <c r="S52" i="18" s="1"/>
  <c r="S55" i="18" s="1"/>
  <c r="S56" i="18" s="1"/>
  <c r="S59" i="18" s="1"/>
  <c r="S61" i="18" s="1"/>
  <c r="S63" i="18" s="1"/>
  <c r="G53" i="18"/>
  <c r="G52" i="18" s="1"/>
  <c r="G55" i="18" s="1"/>
  <c r="G56" i="18" s="1"/>
  <c r="G59" i="18" s="1"/>
  <c r="G61" i="18" s="1"/>
  <c r="G63" i="18" s="1"/>
  <c r="K53" i="18"/>
  <c r="K52" i="18" s="1"/>
  <c r="K55" i="18" s="1"/>
  <c r="K56" i="18" s="1"/>
  <c r="K59" i="18" s="1"/>
  <c r="K61" i="18" s="1"/>
  <c r="K63" i="18" s="1"/>
  <c r="W53" i="18"/>
  <c r="W52" i="18" s="1"/>
  <c r="W55" i="18" s="1"/>
  <c r="W56" i="18" s="1"/>
  <c r="W59" i="18" s="1"/>
  <c r="W61" i="18" s="1"/>
  <c r="W63" i="18" s="1"/>
  <c r="O63" i="17"/>
  <c r="BH60" i="1"/>
  <c r="BE60" i="1" s="1"/>
  <c r="BO63" i="17"/>
  <c r="BH65" i="1"/>
  <c r="BE65" i="1" s="1"/>
  <c r="AE63" i="17"/>
  <c r="BH63" i="1"/>
  <c r="BE63" i="1" s="1"/>
  <c r="BG63" i="17"/>
  <c r="BH64" i="1"/>
  <c r="BE64" i="1" s="1"/>
  <c r="BS63" i="17"/>
  <c r="BH71" i="1"/>
  <c r="BE71" i="1" s="1"/>
  <c r="AQ63" i="17"/>
  <c r="BH58" i="1"/>
  <c r="BE58" i="1" s="1"/>
  <c r="G63" i="17"/>
  <c r="BH55" i="1"/>
  <c r="BE55" i="1" s="1"/>
  <c r="AU63" i="17"/>
  <c r="BH68" i="1"/>
  <c r="BE68" i="1" s="1"/>
  <c r="AZ56" i="1"/>
  <c r="AW56" i="1" s="1"/>
  <c r="K63" i="17"/>
  <c r="BH54" i="1"/>
  <c r="BE54" i="1" s="1"/>
  <c r="AY63" i="17"/>
  <c r="BH69" i="1"/>
  <c r="BE69" i="1" s="1"/>
  <c r="BW63" i="17"/>
  <c r="BH70" i="1"/>
  <c r="BE70" i="1" s="1"/>
  <c r="G81" i="18"/>
  <c r="C81" i="17"/>
  <c r="K81" i="17"/>
  <c r="G81" i="17"/>
  <c r="C81" i="18"/>
  <c r="AM63" i="17" l="1"/>
  <c r="AZ62" i="1"/>
  <c r="AW62" i="1" s="1"/>
  <c r="W63" i="17"/>
  <c r="BH62" i="1"/>
  <c r="BE62" i="1" s="1"/>
  <c r="H67" i="1"/>
  <c r="C63" i="17"/>
  <c r="S63" i="17"/>
  <c r="BH61" i="1"/>
  <c r="BE61" i="1" s="1"/>
  <c r="BH56" i="1"/>
  <c r="BE56" i="1" s="1"/>
  <c r="AZ58" i="1"/>
  <c r="AW58" i="1" s="1"/>
  <c r="AA63" i="17"/>
  <c r="BH59" i="1"/>
  <c r="BE59" i="1" s="1"/>
  <c r="AZ61" i="1"/>
  <c r="AW61" i="1" s="1"/>
  <c r="AZ54" i="1"/>
  <c r="AW54" i="1" s="1"/>
  <c r="AZ63" i="1"/>
  <c r="AW63" i="1" s="1"/>
  <c r="AZ57" i="1"/>
  <c r="AW57" i="1" s="1"/>
  <c r="F67" i="1"/>
  <c r="G67" i="1"/>
  <c r="AZ60" i="1"/>
  <c r="AW60" i="1" s="1"/>
  <c r="AZ55" i="1"/>
  <c r="AW55" i="1" s="1"/>
  <c r="AZ59" i="1"/>
  <c r="AW59" i="1" s="1"/>
  <c r="G138" i="3"/>
  <c r="F116" i="1" s="1"/>
  <c r="G139" i="3"/>
  <c r="D117" i="1" s="1"/>
  <c r="G140" i="3"/>
  <c r="E117" i="1" s="1"/>
  <c r="J138" i="1" s="1"/>
  <c r="G137" i="3"/>
  <c r="E116" i="1" s="1"/>
  <c r="J137" i="1" s="1"/>
  <c r="F139" i="3"/>
  <c r="F137" i="3"/>
  <c r="F146" i="3"/>
  <c r="F140" i="3"/>
  <c r="F141" i="3"/>
  <c r="F138" i="3"/>
  <c r="F142" i="3"/>
  <c r="F129" i="1"/>
  <c r="F145" i="3"/>
  <c r="F144" i="3"/>
  <c r="F147" i="3"/>
  <c r="F143" i="3"/>
  <c r="F136" i="3"/>
  <c r="G136" i="3"/>
  <c r="D116" i="1" s="1"/>
  <c r="G141" i="3"/>
  <c r="F11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dmorgan</author>
    <author>UNRAJASEKHAR</author>
    <author>a0272042</author>
    <author>bdemsc</author>
    <author>TI User</author>
  </authors>
  <commentList>
    <comment ref="F19" authorId="0" shapeId="0" xr:uid="{00000000-0006-0000-0100-000001000000}">
      <text>
        <r>
          <rPr>
            <b/>
            <sz val="8"/>
            <color rgb="FF000000"/>
            <rFont val="Tahoma"/>
            <family val="2"/>
          </rPr>
          <t>The minimum system voltage must be no less than 10V.</t>
        </r>
      </text>
    </comment>
    <comment ref="F21" authorId="0" shapeId="0" xr:uid="{00000000-0006-0000-0100-000002000000}">
      <text>
        <r>
          <rPr>
            <b/>
            <sz val="8"/>
            <color rgb="FF000000"/>
            <rFont val="Tahoma"/>
            <family val="2"/>
          </rPr>
          <t>The maximum system voltage must be no greater than 80V.</t>
        </r>
      </text>
    </comment>
    <comment ref="F23" authorId="0" shapeId="0" xr:uid="{00000000-0006-0000-0100-000003000000}">
      <text>
        <r>
          <rPr>
            <b/>
            <sz val="8"/>
            <color rgb="FF000000"/>
            <rFont val="Tahoma"/>
            <family val="2"/>
          </rPr>
          <t xml:space="preserve">This is the capacitance at Vout. This should not be zero. A minimum of 10 </t>
        </r>
        <r>
          <rPr>
            <b/>
            <sz val="8"/>
            <color rgb="FF000000"/>
            <rFont val="Arial"/>
            <family val="2"/>
          </rPr>
          <t>μ</t>
        </r>
        <r>
          <rPr>
            <b/>
            <sz val="8"/>
            <color rgb="FF000000"/>
            <rFont val="Tahoma"/>
            <family val="2"/>
          </rPr>
          <t>F is recommended.</t>
        </r>
      </text>
    </comment>
    <comment ref="F25" authorId="1" shapeId="0" xr:uid="{B7DA1450-49C8-4DE2-826B-B8121731F8E0}">
      <text>
        <r>
          <rPr>
            <b/>
            <sz val="9"/>
            <color rgb="FF000000"/>
            <rFont val="Tahoma"/>
            <family val="2"/>
          </rPr>
          <t>The tool will calculate the number of FETs required and FET Rdson for this target  temperature</t>
        </r>
        <r>
          <rPr>
            <sz val="9"/>
            <color rgb="FF000000"/>
            <rFont val="Tahoma"/>
            <family val="2"/>
          </rPr>
          <t xml:space="preserve">
</t>
        </r>
      </text>
    </comment>
    <comment ref="F26" authorId="2" shapeId="0" xr:uid="{00000000-0006-0000-0100-000009000000}">
      <text>
        <r>
          <rPr>
            <b/>
            <sz val="9"/>
            <color rgb="FF000000"/>
            <rFont val="Tahoma"/>
            <family val="2"/>
          </rPr>
          <t xml:space="preserve">Note that this parameter is heavily dependent on the board layout and amount of copper connected to the Drain of the FET. 
</t>
        </r>
        <r>
          <rPr>
            <b/>
            <sz val="9"/>
            <color rgb="FF000000"/>
            <rFont val="Tahoma"/>
            <family val="2"/>
          </rPr>
          <t xml:space="preserve">
</t>
        </r>
        <r>
          <rPr>
            <b/>
            <sz val="9"/>
            <color rgb="FF000000"/>
            <rFont val="Tahoma"/>
            <family val="2"/>
          </rPr>
          <t xml:space="preserve">The TI EVM is ~30C / W number and is a good starting point. It's recommended to measure this value again once the boards are built and plugging this back into the calculator. </t>
        </r>
        <r>
          <rPr>
            <sz val="9"/>
            <color rgb="FF000000"/>
            <rFont val="Tahoma"/>
            <family val="2"/>
          </rPr>
          <t xml:space="preserve">
</t>
        </r>
      </text>
    </comment>
    <comment ref="F28" authorId="3" shapeId="0" xr:uid="{00000000-0006-0000-0100-00000E000000}">
      <text>
        <r>
          <rPr>
            <b/>
            <sz val="8"/>
            <color rgb="FF000000"/>
            <rFont val="Tahoma"/>
            <family val="2"/>
          </rPr>
          <t xml:space="preserve">Select if the load will draw current during start-up. 
</t>
        </r>
        <r>
          <rPr>
            <b/>
            <sz val="8"/>
            <color rgb="FF000000"/>
            <rFont val="Tahoma"/>
            <family val="2"/>
          </rPr>
          <t>For no Load, choose constant current and set to zero</t>
        </r>
      </text>
    </comment>
    <comment ref="F30" authorId="3" shapeId="0" xr:uid="{00000000-0006-0000-0100-00000F000000}">
      <text>
        <r>
          <rPr>
            <b/>
            <sz val="8"/>
            <color rgb="FF000000"/>
            <rFont val="Tahoma"/>
            <family val="2"/>
          </rPr>
          <t xml:space="preserve">Soft start or DV/DT control can be useful in high current applications or applications were COUT is large.
</t>
        </r>
        <r>
          <rPr>
            <b/>
            <sz val="8"/>
            <color rgb="FF000000"/>
            <rFont val="Tahoma"/>
            <family val="2"/>
          </rPr>
          <t xml:space="preserve">
</t>
        </r>
        <r>
          <rPr>
            <b/>
            <sz val="8"/>
            <color rgb="FF000000"/>
            <rFont val="Tahoma"/>
            <family val="2"/>
          </rPr>
          <t>If SOA margin is poor with a Power Limit start-up, switching to a soft start can alleviate this problem.</t>
        </r>
      </text>
    </comment>
    <comment ref="F34" authorId="2" shapeId="0" xr:uid="{00000000-0006-0000-0100-000004000000}">
      <text>
        <r>
          <rPr>
            <b/>
            <sz val="9"/>
            <color rgb="FF000000"/>
            <rFont val="Tahoma"/>
            <family val="2"/>
          </rPr>
          <t xml:space="preserve">Using an External Resistor allows the user to fine tune the current limit for a given standard resistor. 
</t>
        </r>
        <r>
          <rPr>
            <b/>
            <sz val="9"/>
            <color rgb="FF000000"/>
            <rFont val="Tahoma"/>
            <family val="2"/>
          </rPr>
          <t xml:space="preserve">
</t>
        </r>
        <r>
          <rPr>
            <b/>
            <sz val="9"/>
            <color rgb="FF000000"/>
            <rFont val="Tahoma"/>
            <family val="2"/>
          </rPr>
          <t xml:space="preserve">It will add error to the power limit, current limit, and telemetry (1% resistors) and should be avoided if possible. </t>
        </r>
        <r>
          <rPr>
            <sz val="9"/>
            <color rgb="FF000000"/>
            <rFont val="Tahoma"/>
            <family val="2"/>
          </rPr>
          <t xml:space="preserve">
</t>
        </r>
      </text>
    </comment>
    <comment ref="F35" authorId="0" shapeId="0" xr:uid="{00000000-0006-0000-0100-000005000000}">
      <text>
        <r>
          <rPr>
            <b/>
            <sz val="8"/>
            <color rgb="FF000000"/>
            <rFont val="Tahoma"/>
            <family val="2"/>
          </rPr>
          <t xml:space="preserve">When using an external resistor divider, Rs must be larger than the targeted Rs,eff.  Pick the next larger available Rs.  
</t>
        </r>
        <r>
          <rPr>
            <b/>
            <sz val="8"/>
            <color rgb="FF000000"/>
            <rFont val="Tahoma"/>
            <family val="2"/>
          </rPr>
          <t xml:space="preserve">
</t>
        </r>
        <r>
          <rPr>
            <b/>
            <sz val="8"/>
            <color rgb="FF000000"/>
            <rFont val="Tahoma"/>
            <family val="2"/>
          </rPr>
          <t xml:space="preserve">When not using an external resistor divider, pick the next smallest available sense resistor. </t>
        </r>
      </text>
    </comment>
    <comment ref="F36" authorId="2" shapeId="0" xr:uid="{00000000-0006-0000-0100-000006000000}">
      <text>
        <r>
          <rPr>
            <b/>
            <sz val="9"/>
            <color rgb="FF000000"/>
            <rFont val="Tahoma"/>
            <family val="2"/>
          </rPr>
          <t xml:space="preserve">Cell turns Red if 
</t>
        </r>
        <r>
          <rPr>
            <b/>
            <sz val="9"/>
            <color rgb="FF000000"/>
            <rFont val="Tahoma"/>
            <family val="2"/>
          </rPr>
          <t xml:space="preserve">When using an external resistor divider, Rs must be larger than the targeted Rs,eff.  Pick the next larger available Rs.  
</t>
        </r>
        <r>
          <rPr>
            <sz val="9"/>
            <color rgb="FF000000"/>
            <rFont val="Tahoma"/>
            <family val="2"/>
          </rPr>
          <t xml:space="preserve">
</t>
        </r>
      </text>
    </comment>
    <comment ref="F41" authorId="2" shapeId="0" xr:uid="{00000000-0006-0000-0100-000007000000}">
      <text>
        <r>
          <rPr>
            <b/>
            <sz val="9"/>
            <color rgb="FF000000"/>
            <rFont val="Tahoma"/>
            <family val="2"/>
          </rPr>
          <t xml:space="preserve">Ensure that the minimum current limit is above maximum load. </t>
        </r>
      </text>
    </comment>
    <comment ref="F44" authorId="0" shapeId="0" xr:uid="{00000000-0006-0000-0100-000008000000}">
      <text>
        <r>
          <rPr>
            <b/>
            <sz val="8"/>
            <color rgb="FF000000"/>
            <rFont val="Tahoma"/>
            <family val="2"/>
          </rPr>
          <t xml:space="preserve">The power dissipation is calculated using the maximum normal load current.
</t>
        </r>
        <r>
          <rPr>
            <b/>
            <sz val="8"/>
            <color rgb="FF000000"/>
            <rFont val="Tahoma"/>
            <family val="2"/>
          </rPr>
          <t xml:space="preserve">
</t>
        </r>
        <r>
          <rPr>
            <b/>
            <sz val="8"/>
            <color rgb="FF000000"/>
            <rFont val="Tahoma"/>
            <family val="2"/>
          </rPr>
          <t>Ensure the selected resistor is rated for this power dissipation.</t>
        </r>
      </text>
    </comment>
    <comment ref="F45" authorId="1" shapeId="0" xr:uid="{AF3664F8-FC33-428E-A83A-B17CFA35181D}">
      <text>
        <r>
          <rPr>
            <b/>
            <sz val="9"/>
            <color rgb="FF000000"/>
            <rFont val="Tahoma"/>
            <family val="2"/>
          </rPr>
          <t xml:space="preserve">Retry option is for  restarting the MOSFET after a certain duration after fault condition.
</t>
        </r>
        <r>
          <rPr>
            <b/>
            <sz val="9"/>
            <color rgb="FF000000"/>
            <rFont val="Tahoma"/>
            <family val="2"/>
          </rPr>
          <t xml:space="preserve">
</t>
        </r>
        <r>
          <rPr>
            <b/>
            <sz val="9"/>
            <color rgb="FF000000"/>
            <rFont val="Tahoma"/>
            <family val="2"/>
          </rPr>
          <t>Latch off option is for keeping the MOSFET off after a fault condition. MOSFET needs to be started up externally.</t>
        </r>
        <r>
          <rPr>
            <sz val="9"/>
            <color rgb="FF000000"/>
            <rFont val="Tahoma"/>
            <family val="2"/>
          </rPr>
          <t xml:space="preserve">
</t>
        </r>
      </text>
    </comment>
    <comment ref="F46" authorId="1" shapeId="0" xr:uid="{9A16B095-15B9-4DF5-A1B3-27E9392677E2}">
      <text>
        <r>
          <rPr>
            <b/>
            <sz val="9"/>
            <color rgb="FF000000"/>
            <rFont val="Tahoma"/>
            <family val="2"/>
          </rPr>
          <t xml:space="preserve">1.9x Current limit is usually recommended.
</t>
        </r>
        <r>
          <rPr>
            <b/>
            <sz val="9"/>
            <color rgb="FF000000"/>
            <rFont val="Tahoma"/>
            <family val="2"/>
          </rPr>
          <t xml:space="preserve">
</t>
        </r>
        <r>
          <rPr>
            <b/>
            <sz val="9"/>
            <color rgb="FF000000"/>
            <rFont val="Tahoma"/>
            <family val="2"/>
          </rPr>
          <t>If your design can have very high surges, then 3.9x Current Limit is the better option</t>
        </r>
        <r>
          <rPr>
            <sz val="9"/>
            <color rgb="FF000000"/>
            <rFont val="Tahoma"/>
            <family val="2"/>
          </rPr>
          <t xml:space="preserve">
</t>
        </r>
      </text>
    </comment>
    <comment ref="F49" authorId="2" shapeId="0" xr:uid="{00000000-0006-0000-0100-00000B000000}">
      <text>
        <r>
          <rPr>
            <b/>
            <sz val="9"/>
            <color rgb="FF000000"/>
            <rFont val="Tahoma"/>
            <family val="2"/>
          </rPr>
          <t xml:space="preserve">Usually this can be set to PLIM,MIN.  If a load is present during start-up a higher Plim, may be preferred. 
</t>
        </r>
      </text>
    </comment>
    <comment ref="F51" authorId="1" shapeId="0" xr:uid="{0BCB5EF6-FB44-492F-9BD7-27839117C024}">
      <text>
        <r>
          <rPr>
            <b/>
            <sz val="9"/>
            <color rgb="FF000000"/>
            <rFont val="Tahoma"/>
            <family val="2"/>
          </rPr>
          <t>Select a resistor closest to the calculated value to achieve the Target Power Limit</t>
        </r>
      </text>
    </comment>
    <comment ref="F52" authorId="2" shapeId="0" xr:uid="{00000000-0006-0000-0100-00000D000000}">
      <text>
        <r>
          <rPr>
            <b/>
            <sz val="9"/>
            <color rgb="FF000000"/>
            <rFont val="Tahoma"/>
            <family val="2"/>
          </rPr>
          <t>Cell turns Red if the actual power limit is below Minimum Power Limit (cell F56)</t>
        </r>
        <r>
          <rPr>
            <sz val="9"/>
            <color rgb="FF000000"/>
            <rFont val="Tahoma"/>
            <family val="2"/>
          </rPr>
          <t xml:space="preserve">
</t>
        </r>
      </text>
    </comment>
    <comment ref="F54" authorId="1" shapeId="0" xr:uid="{EE36AF31-A35D-4ED3-81F0-AB8704119708}">
      <text>
        <r>
          <rPr>
            <b/>
            <sz val="9"/>
            <color rgb="FF000000"/>
            <rFont val="Tahoma"/>
            <family val="2"/>
          </rPr>
          <t>Click the arrow button beside this cell and scroll down to see all the suggestions.</t>
        </r>
      </text>
    </comment>
    <comment ref="G54" authorId="1" shapeId="0" xr:uid="{E5DB11E4-E6C7-4507-B51F-0D8330049968}">
      <text>
        <r>
          <rPr>
            <b/>
            <sz val="9"/>
            <color rgb="FF000000"/>
            <rFont val="Tahoma"/>
            <family val="2"/>
          </rPr>
          <t>Click the arrow button beside this cell and scroll down to see all the suggestions.</t>
        </r>
      </text>
    </comment>
    <comment ref="H54" authorId="1" shapeId="0" xr:uid="{F98A3659-3DC0-4EF2-A436-466A9BD4D09D}">
      <text>
        <r>
          <rPr>
            <b/>
            <sz val="9"/>
            <color rgb="FF000000"/>
            <rFont val="Tahoma"/>
            <family val="2"/>
          </rPr>
          <t>Enter Part Number of MOSFET from Non-TI Suppliers</t>
        </r>
        <r>
          <rPr>
            <sz val="9"/>
            <color rgb="FF000000"/>
            <rFont val="Tahoma"/>
            <family val="2"/>
          </rPr>
          <t xml:space="preserve">
</t>
        </r>
      </text>
    </comment>
    <comment ref="H55" authorId="1" shapeId="0" xr:uid="{CB83B6A8-B5C3-49C4-BCC4-F8471E891CD2}">
      <text>
        <r>
          <rPr>
            <b/>
            <sz val="9"/>
            <color rgb="FF000000"/>
            <rFont val="Tahoma"/>
            <family val="2"/>
          </rPr>
          <t>Enter the details of MOSFET from non-TI Supplier</t>
        </r>
        <r>
          <rPr>
            <sz val="9"/>
            <color rgb="FF000000"/>
            <rFont val="Tahoma"/>
            <family val="2"/>
          </rPr>
          <t xml:space="preserve">
</t>
        </r>
      </text>
    </comment>
    <comment ref="E57" authorId="1" shapeId="0" xr:uid="{C6B9B2FB-F5C1-4804-B83F-B52A4ABAB676}">
      <text>
        <r>
          <rPr>
            <b/>
            <sz val="9"/>
            <color indexed="81"/>
            <rFont val="Tahoma"/>
            <family val="2"/>
          </rPr>
          <t>SOA data for TI FETs is taken at Vds=Vinmax</t>
        </r>
      </text>
    </comment>
    <comment ref="E58" authorId="1" shapeId="0" xr:uid="{A53DFD66-EC31-4E7F-80EE-4EA3A1ABE6EB}">
      <text>
        <r>
          <rPr>
            <b/>
            <sz val="9"/>
            <color indexed="81"/>
            <rFont val="Tahoma"/>
            <family val="2"/>
          </rPr>
          <t>SOA data for TI FETs is taken at Vds=Vinmax</t>
        </r>
      </text>
    </comment>
    <comment ref="E59" authorId="1" shapeId="0" xr:uid="{5008D24D-BB9C-414C-B8B9-55948DC12C2A}">
      <text>
        <r>
          <rPr>
            <b/>
            <sz val="9"/>
            <color indexed="81"/>
            <rFont val="Tahoma"/>
            <family val="2"/>
          </rPr>
          <t>SOA data for TI FETs is taken at Vds=Vinmax</t>
        </r>
      </text>
    </comment>
    <comment ref="E60" authorId="1" shapeId="0" xr:uid="{F998CDB6-328B-4A22-8229-8516F73C589D}">
      <text>
        <r>
          <rPr>
            <b/>
            <sz val="9"/>
            <color indexed="81"/>
            <rFont val="Tahoma"/>
            <family val="2"/>
          </rPr>
          <t>SOA data for TI FETs is taken at Vds=Vinmax</t>
        </r>
      </text>
    </comment>
    <comment ref="E61" authorId="1" shapeId="0" xr:uid="{74054249-E385-48F2-B72D-F2E4A88BAA95}">
      <text>
        <r>
          <rPr>
            <b/>
            <sz val="9"/>
            <color indexed="81"/>
            <rFont val="Tahoma"/>
            <family val="2"/>
          </rPr>
          <t>SOA data for TI FETs is taken at Vds=Vinmax</t>
        </r>
      </text>
    </comment>
    <comment ref="F67" authorId="1" shapeId="0" xr:uid="{3A6E2F54-0B43-467A-9ECB-EC6097E5DBBA}">
      <text>
        <r>
          <rPr>
            <b/>
            <sz val="9"/>
            <color indexed="81"/>
            <rFont val="Tahoma"/>
            <family val="2"/>
          </rPr>
          <t xml:space="preserve">A margin greater than 1.1 is required and greater than 1.3 is recommended for safe operation
</t>
        </r>
      </text>
    </comment>
    <comment ref="G67" authorId="1" shapeId="0" xr:uid="{DAA51863-BE72-4195-BA23-F055ED91C31A}">
      <text>
        <r>
          <rPr>
            <b/>
            <sz val="9"/>
            <color indexed="81"/>
            <rFont val="Tahoma"/>
            <family val="2"/>
          </rPr>
          <t xml:space="preserve">A margin greater than 1.1 is required and greater than 1.3 is recommended for safe operation
</t>
        </r>
      </text>
    </comment>
    <comment ref="H67" authorId="1" shapeId="0" xr:uid="{C043F2FB-794F-45E1-86AF-D1BDBCB29F92}">
      <text>
        <r>
          <rPr>
            <b/>
            <sz val="9"/>
            <color indexed="81"/>
            <rFont val="Tahoma"/>
            <family val="2"/>
          </rPr>
          <t xml:space="preserve">A margin greater than 1.1 is required and greater than 1.3 is recommended for safe operation
</t>
        </r>
      </text>
    </comment>
    <comment ref="K69" authorId="4" shapeId="0" xr:uid="{00000000-0006-0000-0100-00000C000000}">
      <text>
        <r>
          <rPr>
            <b/>
            <sz val="9"/>
            <color indexed="81"/>
            <rFont val="Tahoma"/>
            <family val="2"/>
          </rPr>
          <t>3 Parameters:
Step 1: Max Ambient Operating Temperature 
Step 3: Estimated MOSFET RQJA
Step 3: FET Power Dissipation at full load 
**This includes air flow</t>
        </r>
      </text>
    </comment>
    <comment ref="F75" authorId="1" shapeId="0" xr:uid="{6943EA77-95C3-4BDD-98AB-9A8686A6B739}">
      <text>
        <r>
          <rPr>
            <b/>
            <sz val="9"/>
            <color rgb="FF000000"/>
            <rFont val="Tahoma"/>
            <family val="2"/>
          </rPr>
          <t>Click the arrow button beside this cell and scroll down to select one FET</t>
        </r>
      </text>
    </comment>
    <comment ref="F80" authorId="2" shapeId="0" xr:uid="{00000000-0006-0000-0100-000010000000}">
      <text>
        <r>
          <rPr>
            <b/>
            <sz val="9"/>
            <color rgb="FF000000"/>
            <rFont val="Tahoma"/>
            <family val="2"/>
          </rPr>
          <t xml:space="preserve">If IFET - ILOAD margin is too low, there may be start-up issues due to variation in power limit or load profile.  A margin &gt; 25% is recommended. 
</t>
        </r>
        <r>
          <rPr>
            <b/>
            <sz val="9"/>
            <color rgb="FF000000"/>
            <rFont val="Tahoma"/>
            <family val="2"/>
          </rPr>
          <t xml:space="preserve">
</t>
        </r>
        <r>
          <rPr>
            <b/>
            <sz val="9"/>
            <color rgb="FF000000"/>
            <rFont val="Tahoma"/>
            <family val="2"/>
          </rPr>
          <t xml:space="preserve">If margin is &lt; 25%, the power limit should be increased or the load should be kept completely OFF during start-up. </t>
        </r>
        <r>
          <rPr>
            <sz val="9"/>
            <color rgb="FF000000"/>
            <rFont val="Tahoma"/>
            <family val="2"/>
          </rPr>
          <t xml:space="preserve">
</t>
        </r>
      </text>
    </comment>
    <comment ref="F81" authorId="0" shapeId="0" xr:uid="{00000000-0006-0000-0100-000011000000}">
      <text>
        <r>
          <rPr>
            <b/>
            <sz val="8"/>
            <color indexed="81"/>
            <rFont val="Tahoma"/>
            <family val="2"/>
          </rPr>
          <t xml:space="preserve">To ensure start-up the fault time out must be longer than the start-up time. It is recommended to choose a fault timer that is larger than the typical start-time to account for variations in Plim, timer current, and timer capacitance. </t>
        </r>
      </text>
    </comment>
    <comment ref="F83" authorId="2" shapeId="0" xr:uid="{00000000-0006-0000-0100-000012000000}">
      <text>
        <r>
          <rPr>
            <b/>
            <sz val="9"/>
            <color indexed="81"/>
            <rFont val="Tahoma"/>
            <family val="2"/>
          </rPr>
          <t>Pick closest capacitor that is larger than the Target capacitance</t>
        </r>
        <r>
          <rPr>
            <sz val="9"/>
            <color indexed="81"/>
            <rFont val="Tahoma"/>
            <family val="2"/>
          </rPr>
          <t xml:space="preserve">
</t>
        </r>
      </text>
    </comment>
    <comment ref="F85" authorId="2" shapeId="0" xr:uid="{00000000-0006-0000-0100-000013000000}">
      <text>
        <r>
          <rPr>
            <sz val="9"/>
            <color indexed="81"/>
            <rFont val="Tahoma"/>
            <family val="2"/>
          </rPr>
          <t>A ratio over 1.1 is required and over 1.3 is preferred.  This will account for variation in Power limit and timer
If the margin is poor with a PLIM based start-up, switch to soft start (cell F55)</t>
        </r>
      </text>
    </comment>
    <comment ref="F86" authorId="3" shapeId="0" xr:uid="{00000000-0006-0000-0100-000014000000}">
      <text>
        <r>
          <rPr>
            <b/>
            <sz val="8"/>
            <color rgb="FF000000"/>
            <rFont val="Tahoma"/>
            <family val="2"/>
          </rPr>
          <t xml:space="preserve">This is used to determine the maximum FET case temperature before start-up. 
</t>
        </r>
        <r>
          <rPr>
            <b/>
            <sz val="8"/>
            <color rgb="FF000000"/>
            <rFont val="Tahoma"/>
            <family val="2"/>
          </rPr>
          <t xml:space="preserve">
</t>
        </r>
        <r>
          <rPr>
            <b/>
            <sz val="8"/>
            <color rgb="FF000000"/>
            <rFont val="Tahoma"/>
            <family val="2"/>
          </rPr>
          <t xml:space="preserve">A "yes" here means that a user may run a board at full current, then unplug the board and plug it back in. In that the FET is hot before hot-plug. 
</t>
        </r>
        <r>
          <rPr>
            <b/>
            <sz val="8"/>
            <color rgb="FF000000"/>
            <rFont val="Tahoma"/>
            <family val="2"/>
          </rPr>
          <t xml:space="preserve">
</t>
        </r>
        <r>
          <rPr>
            <b/>
            <sz val="8"/>
            <color rgb="FF000000"/>
            <rFont val="Tahoma"/>
            <family val="2"/>
          </rPr>
          <t xml:space="preserve">If this is a "no".  FET temperature just equals the ambient temperature. </t>
        </r>
      </text>
    </comment>
    <comment ref="F87" authorId="2" shapeId="0" xr:uid="{00000000-0006-0000-0100-000015000000}">
      <text>
        <r>
          <rPr>
            <b/>
            <sz val="9"/>
            <color rgb="FF000000"/>
            <rFont val="Tahoma"/>
            <family val="2"/>
          </rPr>
          <t xml:space="preserve">If these cells are red, there is no suitable slew rate for keeping FET whithin SOA. 
</t>
        </r>
        <r>
          <rPr>
            <b/>
            <sz val="9"/>
            <color rgb="FF000000"/>
            <rFont val="Tahoma"/>
            <family val="2"/>
          </rPr>
          <t xml:space="preserve">
</t>
        </r>
        <r>
          <rPr>
            <b/>
            <sz val="9"/>
            <color rgb="FF000000"/>
            <rFont val="Tahoma"/>
            <family val="2"/>
          </rPr>
          <t xml:space="preserve">Reduce load at start-up or pick FET with better SOA. </t>
        </r>
      </text>
    </comment>
    <comment ref="F88" authorId="2" shapeId="0" xr:uid="{00000000-0006-0000-0100-000016000000}">
      <text>
        <r>
          <rPr>
            <b/>
            <sz val="9"/>
            <color rgb="FF000000"/>
            <rFont val="Tahoma"/>
            <family val="2"/>
          </rPr>
          <t xml:space="preserve">If these cells are red, there is no suitable slew rate for keeping FET whithin SOA. 
</t>
        </r>
        <r>
          <rPr>
            <b/>
            <sz val="9"/>
            <color rgb="FF000000"/>
            <rFont val="Tahoma"/>
            <family val="2"/>
          </rPr>
          <t xml:space="preserve">
</t>
        </r>
        <r>
          <rPr>
            <b/>
            <sz val="9"/>
            <color rgb="FF000000"/>
            <rFont val="Tahoma"/>
            <family val="2"/>
          </rPr>
          <t xml:space="preserve">Reduce load at start-up or pick FET with better SOA. </t>
        </r>
        <r>
          <rPr>
            <sz val="9"/>
            <color rgb="FF000000"/>
            <rFont val="Tahoma"/>
            <family val="2"/>
          </rPr>
          <t xml:space="preserve">
</t>
        </r>
      </text>
    </comment>
    <comment ref="F89" authorId="2" shapeId="0" xr:uid="{00000000-0006-0000-0100-000017000000}">
      <text>
        <r>
          <rPr>
            <b/>
            <sz val="9"/>
            <color rgb="FF000000"/>
            <rFont val="Tahoma"/>
            <family val="2"/>
          </rPr>
          <t>Ensure that this is lower than max ss slew rate in the cell above</t>
        </r>
        <r>
          <rPr>
            <sz val="9"/>
            <color rgb="FF000000"/>
            <rFont val="Tahoma"/>
            <family val="2"/>
          </rPr>
          <t xml:space="preserve">
</t>
        </r>
      </text>
    </comment>
    <comment ref="F92" authorId="2" shapeId="0" xr:uid="{00000000-0006-0000-0100-000018000000}">
      <text>
        <r>
          <rPr>
            <b/>
            <sz val="9"/>
            <color rgb="FF000000"/>
            <rFont val="Tahoma"/>
            <family val="2"/>
          </rPr>
          <t>Ensure that this is lower than max ss slew rate.</t>
        </r>
      </text>
    </comment>
    <comment ref="F93" authorId="2" shapeId="0" xr:uid="{00000000-0006-0000-0100-000019000000}">
      <text>
        <r>
          <rPr>
            <sz val="9"/>
            <color rgb="FF000000"/>
            <rFont val="Tahoma"/>
            <family val="2"/>
          </rPr>
          <t xml:space="preserve">A margin of &gt;1.1 is required and a margin of &gt;1.5 is recommended to accout for the variation in the gate current. 
</t>
        </r>
        <r>
          <rPr>
            <sz val="9"/>
            <color rgb="FF000000"/>
            <rFont val="Tahoma"/>
            <family val="2"/>
          </rPr>
          <t xml:space="preserve">
</t>
        </r>
        <r>
          <rPr>
            <sz val="9"/>
            <color rgb="FF000000"/>
            <rFont val="Tahoma"/>
            <family val="2"/>
          </rPr>
          <t>Reduce dv/dt rate to reduce inrush current and increase SOA margin</t>
        </r>
      </text>
    </comment>
    <comment ref="F98" authorId="2" shapeId="0" xr:uid="{00000000-0006-0000-0100-00001A000000}">
      <text>
        <r>
          <rPr>
            <b/>
            <sz val="9"/>
            <color indexed="81"/>
            <rFont val="Tahoma"/>
            <family val="2"/>
          </rPr>
          <t xml:space="preserve">A margin of &gt;1.1 is required and a margin of &gt;1.3 is recommended to accout for the variation in the power limit and timer. 
Reduce Tfault to improve SOA margin. </t>
        </r>
        <r>
          <rPr>
            <sz val="9"/>
            <color indexed="81"/>
            <rFont val="Tahoma"/>
            <family val="2"/>
          </rPr>
          <t xml:space="preserve">
</t>
        </r>
      </text>
    </comment>
    <comment ref="F100" authorId="0" shapeId="0" xr:uid="{00000000-0006-0000-0100-00001B000000}">
      <text>
        <r>
          <rPr>
            <b/>
            <sz val="8"/>
            <color rgb="FF000000"/>
            <rFont val="Tahoma"/>
            <family val="2"/>
          </rPr>
          <t>This calculation applies only when the RETRY option is selected.</t>
        </r>
      </text>
    </comment>
    <comment ref="F101" authorId="3" shapeId="0" xr:uid="{00000000-0006-0000-0100-00001C000000}">
      <text>
        <r>
          <rPr>
            <b/>
            <sz val="8"/>
            <color rgb="FF000000"/>
            <rFont val="Tahoma"/>
            <family val="2"/>
          </rPr>
          <t>See the schematics above to select the appropriate option for setting the input voltage UVLO and OVLO thresholds.</t>
        </r>
      </text>
    </comment>
    <comment ref="F102" authorId="0" shapeId="0" xr:uid="{00000000-0006-0000-0100-00001D000000}">
      <text>
        <r>
          <rPr>
            <b/>
            <sz val="8"/>
            <color rgb="FF000000"/>
            <rFont val="Tahoma"/>
            <family val="2"/>
          </rPr>
          <t>This threshold must be between 10V and 80V.</t>
        </r>
      </text>
    </comment>
    <comment ref="F103" authorId="0" shapeId="0" xr:uid="{00000000-0006-0000-0100-00001E000000}">
      <text>
        <r>
          <rPr>
            <b/>
            <sz val="8"/>
            <color rgb="FF000000"/>
            <rFont val="Tahoma"/>
            <family val="2"/>
          </rPr>
          <t>This threshold must be greater than 10V, and less than the upper UVLO threshold.</t>
        </r>
      </text>
    </comment>
    <comment ref="F104" authorId="0" shapeId="0" xr:uid="{00000000-0006-0000-0100-00001F000000}">
      <text>
        <r>
          <rPr>
            <b/>
            <sz val="8"/>
            <color rgb="FF000000"/>
            <rFont val="Tahoma"/>
            <family val="2"/>
          </rPr>
          <t>This threshold must be greater than the upper UVLO Threshold, and less than 80V.</t>
        </r>
      </text>
    </comment>
    <comment ref="F137" authorId="2" shapeId="0" xr:uid="{00000000-0006-0000-0100-000020000000}">
      <text>
        <r>
          <rPr>
            <sz val="9"/>
            <color rgb="FF000000"/>
            <rFont val="Tahoma"/>
            <family val="2"/>
          </rPr>
          <t xml:space="preserve">TI recommended. Same as LM5066I EVM.
</t>
        </r>
      </text>
    </comment>
    <comment ref="F140" authorId="2" shapeId="0" xr:uid="{00000000-0006-0000-0100-000021000000}">
      <text>
        <r>
          <rPr>
            <b/>
            <sz val="9"/>
            <color rgb="FF000000"/>
            <rFont val="Tahoma"/>
            <family val="2"/>
          </rPr>
          <t xml:space="preserve">TI recomends the SMDJxx TVS.
</t>
        </r>
        <r>
          <rPr>
            <b/>
            <sz val="9"/>
            <color rgb="FF000000"/>
            <rFont val="Tahoma"/>
            <family val="2"/>
          </rPr>
          <t xml:space="preserve">
</t>
        </r>
        <r>
          <rPr>
            <b/>
            <sz val="9"/>
            <color rgb="FF000000"/>
            <rFont val="Tahoma"/>
            <family val="2"/>
          </rPr>
          <t xml:space="preserve">Pick the proper value based on the input voltage. </t>
        </r>
        <r>
          <rPr>
            <sz val="9"/>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bdemsc</author>
  </authors>
  <commentList>
    <comment ref="C42" authorId="0" shapeId="0" xr:uid="{0E17DF7C-793E-4588-9527-1F6CF12609A6}">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 ref="C43" authorId="0" shapeId="0" xr:uid="{51CE95FD-2060-44D4-9AD2-50BF0D840650}">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 ref="C45" authorId="0" shapeId="0" xr:uid="{200B675F-6671-454B-BA85-AD3CD2815BCE}">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 ref="C90" authorId="0" shapeId="0" xr:uid="{4A1B6F34-24BE-40D3-9855-8D8FE4950C75}">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 ref="C91" authorId="0" shapeId="0" xr:uid="{AF099FB9-7574-45F9-8028-ABEC7BE5D800}">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 ref="C93" authorId="0" shapeId="0" xr:uid="{8A19CF7B-F99D-4402-A0F1-774CC7A1520B}">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 ref="C138" authorId="0" shapeId="0" xr:uid="{40C7B3C8-EDFB-4D40-B234-D12830CB1DAE}">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 ref="C139" authorId="0" shapeId="0" xr:uid="{B923404E-496F-432D-B171-D0CC3EAE1367}">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 ref="C141" authorId="0" shapeId="0" xr:uid="{BF75946C-EF58-4F02-82BE-5FEE45653E4E}">
      <text>
        <r>
          <rPr>
            <b/>
            <sz val="8"/>
            <color indexed="81"/>
            <rFont val="Tahoma"/>
            <family val="2"/>
          </rPr>
          <t xml:space="preserve">Enter data from the MOSFET's SOA chart typically found in its datasheet.
</t>
        </r>
        <r>
          <rPr>
            <b/>
            <sz val="8"/>
            <color indexed="10"/>
            <rFont val="Tahoma"/>
            <family val="2"/>
          </rPr>
          <t>Consult the MOSFET vendor for SOA performance detail and appropriate derating criteria.</t>
        </r>
      </text>
    </comment>
  </commentList>
</comments>
</file>

<file path=xl/sharedStrings.xml><?xml version="1.0" encoding="utf-8"?>
<sst xmlns="http://schemas.openxmlformats.org/spreadsheetml/2006/main" count="2754" uniqueCount="676">
  <si>
    <t>Max Rs =</t>
  </si>
  <si>
    <t>Min. Current limit =</t>
  </si>
  <si>
    <t>Typ. Current limit =</t>
  </si>
  <si>
    <t>Max. Current limit =</t>
  </si>
  <si>
    <t>Rs Power Diss. =</t>
  </si>
  <si>
    <t>Resulting Typical Power Limit =</t>
  </si>
  <si>
    <t>Resulting Minimum Power Limit =</t>
  </si>
  <si>
    <t>Resulting Maximum Power Limit =</t>
  </si>
  <si>
    <t>ms</t>
  </si>
  <si>
    <t>Typ. Insertion time =</t>
  </si>
  <si>
    <t>Typ. Restart time =</t>
  </si>
  <si>
    <t>R1 =</t>
  </si>
  <si>
    <t>R2 =</t>
  </si>
  <si>
    <t>R3 =</t>
  </si>
  <si>
    <t>R4 =</t>
  </si>
  <si>
    <t xml:space="preserve">   24% tolerance used in this calculation.</t>
  </si>
  <si>
    <t xml:space="preserve">  10% margin added in this calculation</t>
  </si>
  <si>
    <r>
      <t>R</t>
    </r>
    <r>
      <rPr>
        <vertAlign val="subscript"/>
        <sz val="10"/>
        <rFont val="Arial"/>
        <family val="2"/>
      </rPr>
      <t>PWR</t>
    </r>
    <r>
      <rPr>
        <sz val="10"/>
        <rFont val="Arial"/>
        <family val="2"/>
      </rPr>
      <t xml:space="preserve"> =</t>
    </r>
  </si>
  <si>
    <t>Notes:</t>
  </si>
  <si>
    <t>Option A</t>
  </si>
  <si>
    <t>Option B</t>
  </si>
  <si>
    <t>Select Option A or Option B</t>
  </si>
  <si>
    <t>R2</t>
  </si>
  <si>
    <t>R3</t>
  </si>
  <si>
    <t>R4</t>
  </si>
  <si>
    <t>A</t>
  </si>
  <si>
    <t>B</t>
  </si>
  <si>
    <t>UVLO upper is F40</t>
  </si>
  <si>
    <t>UVLO lower is F41</t>
  </si>
  <si>
    <t>OVLO upper is F42</t>
  </si>
  <si>
    <t>OVLO lower is F43</t>
  </si>
  <si>
    <t xml:space="preserve">R3 = </t>
  </si>
  <si>
    <t xml:space="preserve">R2 = </t>
  </si>
  <si>
    <t xml:space="preserve">R1 = </t>
  </si>
  <si>
    <t xml:space="preserve">R4 = </t>
  </si>
  <si>
    <t>Minimum</t>
  </si>
  <si>
    <t>Typical</t>
  </si>
  <si>
    <t>Maximum</t>
  </si>
  <si>
    <t xml:space="preserve">Resulting upper UVLO Threshold (min) = </t>
  </si>
  <si>
    <t xml:space="preserve">Resulting upper UVLO Threshold (typ) = </t>
  </si>
  <si>
    <t xml:space="preserve">Resulting upper UVLO Threshold (max) = </t>
  </si>
  <si>
    <t xml:space="preserve">Resulting lower UVLO Threshold (min) = </t>
  </si>
  <si>
    <t xml:space="preserve">Resulting lower UVLO Threshold (typ) = </t>
  </si>
  <si>
    <t xml:space="preserve">Resulting lower UVLO Threshold (max) = </t>
  </si>
  <si>
    <t xml:space="preserve">Resulting upper OVLO Threshold (min) = </t>
  </si>
  <si>
    <t xml:space="preserve">Resulting upper OVLO Threshold (typ) = </t>
  </si>
  <si>
    <t xml:space="preserve">Resulting upper OVLO Threshold (max) = </t>
  </si>
  <si>
    <t xml:space="preserve">Resulting lower OVLO Threshold (min) = </t>
  </si>
  <si>
    <t xml:space="preserve">Resulting lower OVLO Threshold (typ) = </t>
  </si>
  <si>
    <t xml:space="preserve">Resulting lower OVLO Threshold (max) = </t>
  </si>
  <si>
    <t>R1 is F48</t>
  </si>
  <si>
    <t>R2 is F49</t>
  </si>
  <si>
    <t>R3 is F50</t>
  </si>
  <si>
    <t>R4 is F51</t>
  </si>
  <si>
    <t>Resulting Thresholds:</t>
  </si>
  <si>
    <r>
      <t>C</t>
    </r>
    <r>
      <rPr>
        <vertAlign val="subscript"/>
        <sz val="10"/>
        <rFont val="Arial"/>
        <family val="2"/>
      </rPr>
      <t>IN</t>
    </r>
    <r>
      <rPr>
        <sz val="10"/>
        <rFont val="Arial"/>
        <family val="2"/>
      </rPr>
      <t xml:space="preserve"> = </t>
    </r>
  </si>
  <si>
    <t>GRAPH:</t>
  </si>
  <si>
    <t>Selected Rs =</t>
  </si>
  <si>
    <r>
      <t>Selected R</t>
    </r>
    <r>
      <rPr>
        <vertAlign val="subscript"/>
        <sz val="10"/>
        <rFont val="Arial"/>
        <family val="2"/>
      </rPr>
      <t>PWR</t>
    </r>
    <r>
      <rPr>
        <sz val="10"/>
        <rFont val="Arial"/>
        <family val="2"/>
      </rPr>
      <t xml:space="preserve"> =</t>
    </r>
  </si>
  <si>
    <t>Max System voltage =</t>
  </si>
  <si>
    <t>Current Lim (min) =</t>
  </si>
  <si>
    <t>Current Lim (typ) =</t>
  </si>
  <si>
    <t>Current Lim (max) =</t>
  </si>
  <si>
    <t>Power Limit (min) =</t>
  </si>
  <si>
    <t>Power Limit (typ) =</t>
  </si>
  <si>
    <t>Power Limit (max) =</t>
  </si>
  <si>
    <t>A) This table calculates the Ids current based</t>
  </si>
  <si>
    <t>B) This table corrrects the table at left so no</t>
  </si>
  <si>
    <t>on power limit only - no current limit info.</t>
  </si>
  <si>
    <t>current is greater than the current limit.</t>
  </si>
  <si>
    <t>Vds</t>
  </si>
  <si>
    <t>Min</t>
  </si>
  <si>
    <t>Typ</t>
  </si>
  <si>
    <t>Max</t>
  </si>
  <si>
    <t>SOA data points from</t>
  </si>
  <si>
    <t>the customer's SOA</t>
  </si>
  <si>
    <t>data he entered.</t>
  </si>
  <si>
    <t>User's</t>
  </si>
  <si>
    <t>Ids</t>
  </si>
  <si>
    <t>x = customer's entry</t>
  </si>
  <si>
    <t>x</t>
  </si>
  <si>
    <t>SOA</t>
  </si>
  <si>
    <t>C) This table creates the</t>
  </si>
  <si>
    <t>µF</t>
  </si>
  <si>
    <r>
      <t>k</t>
    </r>
    <r>
      <rPr>
        <sz val="10"/>
        <rFont val="Symbol"/>
        <family val="1"/>
        <charset val="2"/>
      </rPr>
      <t>W</t>
    </r>
  </si>
  <si>
    <r>
      <t>m</t>
    </r>
    <r>
      <rPr>
        <sz val="10"/>
        <rFont val="Symbol"/>
        <family val="1"/>
        <charset val="2"/>
      </rPr>
      <t>W</t>
    </r>
  </si>
  <si>
    <t>V</t>
  </si>
  <si>
    <t>W</t>
  </si>
  <si>
    <t>D) This table changes ID values to zero for Vds&gt;Vin(max)</t>
  </si>
  <si>
    <t>and adds the SOA curve. This data is plotted.</t>
  </si>
  <si>
    <r>
      <t>1. Although not mandatory, C</t>
    </r>
    <r>
      <rPr>
        <vertAlign val="subscript"/>
        <sz val="10"/>
        <rFont val="Arial"/>
        <family val="2"/>
      </rPr>
      <t>IN</t>
    </r>
    <r>
      <rPr>
        <sz val="10"/>
        <rFont val="Arial"/>
        <family val="2"/>
      </rPr>
      <t xml:space="preserve"> provides transient suppression at the VIN pin</t>
    </r>
  </si>
  <si>
    <t>Resulting Typical Restart Time</t>
  </si>
  <si>
    <t>Desired Upper UVLO Threshold</t>
  </si>
  <si>
    <t>Desired Lower UVLO Threshold</t>
  </si>
  <si>
    <t>Desired Lower OVLO Threshold</t>
  </si>
  <si>
    <t xml:space="preserve">Resulting Upper UVLO Threshold = </t>
  </si>
  <si>
    <t xml:space="preserve">Resulting Lower UVLO Threshold = </t>
  </si>
  <si>
    <t xml:space="preserve">Resulting Upper OVLO Threshold = </t>
  </si>
  <si>
    <t xml:space="preserve">Resulting Lower OVLO Threshold = </t>
  </si>
  <si>
    <t>Resulting Minimum Current Limit</t>
  </si>
  <si>
    <t>Resulting Typical Current Limit</t>
  </si>
  <si>
    <t>Resulting Maximum Current Limit</t>
  </si>
  <si>
    <t>Desired Upper OVLO Threshold</t>
  </si>
  <si>
    <t>Calculated Values are shown in White Cells</t>
  </si>
  <si>
    <t>www.ti.com/hotswap</t>
  </si>
  <si>
    <t xml:space="preserve">Enter the Resistance for R1 </t>
  </si>
  <si>
    <t xml:space="preserve">Enter the Resistance for R2 </t>
  </si>
  <si>
    <t xml:space="preserve">Enter the Resistance for R3 </t>
  </si>
  <si>
    <t xml:space="preserve">Enter the Resistance for R4 </t>
  </si>
  <si>
    <r>
      <t>Enter the Resistance for R</t>
    </r>
    <r>
      <rPr>
        <vertAlign val="subscript"/>
        <sz val="10"/>
        <rFont val="Arial"/>
        <family val="2"/>
      </rPr>
      <t>S</t>
    </r>
  </si>
  <si>
    <t>2. A TVS clamp from VIN to GND is absolutely mandatory to clamp the voltage overshoot upon MOSFET turn-off, e.g. during circuit breaker</t>
  </si>
  <si>
    <r>
      <t>Minimum Input Operating Voltage: V</t>
    </r>
    <r>
      <rPr>
        <vertAlign val="subscript"/>
        <sz val="10"/>
        <rFont val="Arial"/>
        <family val="2"/>
      </rPr>
      <t>IN(MIN)</t>
    </r>
  </si>
  <si>
    <r>
      <t>Maximum Input Operating Voltage: V</t>
    </r>
    <r>
      <rPr>
        <vertAlign val="subscript"/>
        <sz val="10"/>
        <rFont val="Arial"/>
        <family val="2"/>
      </rPr>
      <t>IN(MAX)</t>
    </r>
  </si>
  <si>
    <r>
      <t>Maximum Power Dissipation in R</t>
    </r>
    <r>
      <rPr>
        <vertAlign val="subscript"/>
        <sz val="10"/>
        <rFont val="Arial"/>
        <family val="2"/>
      </rPr>
      <t>S</t>
    </r>
  </si>
  <si>
    <r>
      <t>Enter the Resistance for R</t>
    </r>
    <r>
      <rPr>
        <vertAlign val="subscript"/>
        <sz val="10"/>
        <rFont val="Arial"/>
        <family val="2"/>
      </rPr>
      <t>PG</t>
    </r>
  </si>
  <si>
    <t>Ramp time for output voltage</t>
  </si>
  <si>
    <t>Nominal output voltage</t>
  </si>
  <si>
    <t>Required soft-start capacitance</t>
  </si>
  <si>
    <t>nF</t>
  </si>
  <si>
    <r>
      <t>Nominal Input Operating Voltage: V</t>
    </r>
    <r>
      <rPr>
        <vertAlign val="subscript"/>
        <sz val="10"/>
        <rFont val="Arial"/>
        <family val="2"/>
      </rPr>
      <t>IN(NOM)</t>
    </r>
  </si>
  <si>
    <r>
      <t>Maximum Ambient Operating Temperature: T</t>
    </r>
    <r>
      <rPr>
        <vertAlign val="subscript"/>
        <sz val="10"/>
        <rFont val="Arial"/>
        <family val="2"/>
      </rPr>
      <t>MAX</t>
    </r>
  </si>
  <si>
    <r>
      <t>Maximum Load Current: I</t>
    </r>
    <r>
      <rPr>
        <vertAlign val="subscript"/>
        <sz val="10"/>
        <rFont val="Arial"/>
        <family val="2"/>
      </rPr>
      <t>OUT(MAX)</t>
    </r>
  </si>
  <si>
    <t>#</t>
  </si>
  <si>
    <r>
      <rPr>
        <vertAlign val="superscript"/>
        <sz val="10"/>
        <rFont val="Arial"/>
        <family val="2"/>
      </rPr>
      <t>o</t>
    </r>
    <r>
      <rPr>
        <sz val="10"/>
        <rFont val="Arial"/>
        <family val="2"/>
      </rPr>
      <t>C</t>
    </r>
  </si>
  <si>
    <r>
      <rPr>
        <vertAlign val="superscript"/>
        <sz val="10"/>
        <rFont val="Arial"/>
        <family val="2"/>
      </rPr>
      <t>o</t>
    </r>
    <r>
      <rPr>
        <sz val="10"/>
        <rFont val="Arial"/>
        <family val="2"/>
      </rPr>
      <t>C/W</t>
    </r>
  </si>
  <si>
    <t>Maximum FET Junction Temperature</t>
  </si>
  <si>
    <t>1ms SOA Current Maximum Input Voltage</t>
  </si>
  <si>
    <t>Current Limit</t>
  </si>
  <si>
    <t>Step 4: Startup</t>
  </si>
  <si>
    <t>Startup Load Type</t>
  </si>
  <si>
    <t>Startup Load Value</t>
  </si>
  <si>
    <t>Constant Current</t>
  </si>
  <si>
    <t>Vout</t>
  </si>
  <si>
    <t>ILOAD</t>
  </si>
  <si>
    <t xml:space="preserve">Start-up slop </t>
  </si>
  <si>
    <t>QG</t>
  </si>
  <si>
    <t>I_Src</t>
  </si>
  <si>
    <t>RMS</t>
  </si>
  <si>
    <t>PLIM</t>
  </si>
  <si>
    <t>combined</t>
  </si>
  <si>
    <t>I_timer</t>
  </si>
  <si>
    <t>C_timer</t>
  </si>
  <si>
    <t>Final</t>
  </si>
  <si>
    <t>Time</t>
  </si>
  <si>
    <t>Startup</t>
  </si>
  <si>
    <t>FET Selection</t>
  </si>
  <si>
    <t>Nominal</t>
  </si>
  <si>
    <t>Operating Conditions</t>
  </si>
  <si>
    <t>Input Voltage</t>
  </si>
  <si>
    <t>Sense input Current</t>
  </si>
  <si>
    <t>Units</t>
  </si>
  <si>
    <t>uA</t>
  </si>
  <si>
    <t>Circuit Breaker</t>
  </si>
  <si>
    <t>Timer</t>
  </si>
  <si>
    <t>Upper Threshold</t>
  </si>
  <si>
    <t>Insertion Time Current</t>
  </si>
  <si>
    <t>Fault detection current</t>
  </si>
  <si>
    <t>ICAP</t>
  </si>
  <si>
    <t>Junction Temperature</t>
  </si>
  <si>
    <t>VIN</t>
  </si>
  <si>
    <t>Power Limit</t>
  </si>
  <si>
    <t>mV</t>
  </si>
  <si>
    <t>Minimum Power Limit=</t>
  </si>
  <si>
    <t>Look Up</t>
  </si>
  <si>
    <t>1ms</t>
  </si>
  <si>
    <t>10ms</t>
  </si>
  <si>
    <t>100ms</t>
  </si>
  <si>
    <t>Final SOA</t>
  </si>
  <si>
    <t>time</t>
  </si>
  <si>
    <t>Voltage</t>
  </si>
  <si>
    <t>Lower time</t>
  </si>
  <si>
    <t>Higher timer</t>
  </si>
  <si>
    <t>I (lower time)</t>
  </si>
  <si>
    <t>I (higher time)</t>
  </si>
  <si>
    <t>a</t>
  </si>
  <si>
    <t>m</t>
  </si>
  <si>
    <t>Extr. I</t>
  </si>
  <si>
    <t>Assuming Power vs time is linear on a log-log plot</t>
  </si>
  <si>
    <t>Interpolated Power=</t>
  </si>
  <si>
    <t xml:space="preserve">Max Power with Temp Derating = </t>
  </si>
  <si>
    <t>Load Turn-On Threshold</t>
  </si>
  <si>
    <t>a = iSOA1/tSOA1^m</t>
  </si>
  <si>
    <t>m = log(iSOA1/iSOA2)/log(tSOA1/tSOA2)</t>
  </si>
  <si>
    <t>I = a * t^m</t>
  </si>
  <si>
    <t>Derating factor =</t>
  </si>
  <si>
    <t>No</t>
  </si>
  <si>
    <t>Yes</t>
  </si>
  <si>
    <t>Gate</t>
  </si>
  <si>
    <t>Resulting Typical Insertion Delay Time</t>
  </si>
  <si>
    <r>
      <t>Use External Resistor Divider to Reduce Effecitve R</t>
    </r>
    <r>
      <rPr>
        <vertAlign val="subscript"/>
        <sz val="10"/>
        <rFont val="Arial"/>
        <family val="2"/>
      </rPr>
      <t>S</t>
    </r>
  </si>
  <si>
    <t>V/S</t>
  </si>
  <si>
    <t>Gate Sourcing Current</t>
  </si>
  <si>
    <t>Recommended Value for RCL1</t>
  </si>
  <si>
    <t>Recommended Value for RCL2</t>
  </si>
  <si>
    <t>Enter value for RCL1</t>
  </si>
  <si>
    <t>Enter value for RCL2</t>
  </si>
  <si>
    <t>CLMAX =</t>
  </si>
  <si>
    <t xml:space="preserve">CLNOM = </t>
  </si>
  <si>
    <t>CLMIN =</t>
  </si>
  <si>
    <t>RCL1 Recommended  =</t>
  </si>
  <si>
    <t>RCL2 Recommmended =</t>
  </si>
  <si>
    <t>Effective Rs =</t>
  </si>
  <si>
    <t>Step 5: UVLO, OVLO &amp; PGD Thresholds</t>
  </si>
  <si>
    <r>
      <t>R</t>
    </r>
    <r>
      <rPr>
        <vertAlign val="subscript"/>
        <sz val="11"/>
        <color theme="1"/>
        <rFont val="Arial"/>
        <family val="2"/>
      </rPr>
      <t>CL1</t>
    </r>
    <r>
      <rPr>
        <sz val="11"/>
        <color theme="1"/>
        <rFont val="Arial"/>
        <family val="2"/>
      </rPr>
      <t xml:space="preserve"> =</t>
    </r>
  </si>
  <si>
    <r>
      <t>R</t>
    </r>
    <r>
      <rPr>
        <vertAlign val="subscript"/>
        <sz val="11"/>
        <color theme="1"/>
        <rFont val="Arial"/>
        <family val="2"/>
      </rPr>
      <t>CL2</t>
    </r>
    <r>
      <rPr>
        <sz val="11"/>
        <color theme="1"/>
        <rFont val="Arial"/>
        <family val="2"/>
      </rPr>
      <t xml:space="preserve"> =</t>
    </r>
  </si>
  <si>
    <t>Design Summary</t>
  </si>
  <si>
    <t>Current limit</t>
  </si>
  <si>
    <t>Startup Time</t>
  </si>
  <si>
    <t>Insertion Delay</t>
  </si>
  <si>
    <t>Fault Timeout</t>
  </si>
  <si>
    <t>Restart Time During Fault</t>
  </si>
  <si>
    <t>Upper UVLO Threshold</t>
  </si>
  <si>
    <t>Lower OVLO Threshold</t>
  </si>
  <si>
    <t>Lower UVLO Threshold</t>
  </si>
  <si>
    <t>Upper OVLO Threshold</t>
  </si>
  <si>
    <t>Circuit Breaker Current</t>
  </si>
  <si>
    <t>100us</t>
  </si>
  <si>
    <t>Circuit Breaker to Current Limit Raitio</t>
  </si>
  <si>
    <r>
      <t>Maximum Output Load Capacitance: C</t>
    </r>
    <r>
      <rPr>
        <vertAlign val="subscript"/>
        <sz val="10"/>
        <rFont val="Arial"/>
        <family val="2"/>
      </rPr>
      <t>LOAD</t>
    </r>
  </si>
  <si>
    <t>Min Insertion time =</t>
  </si>
  <si>
    <t>Max Insertion time =</t>
  </si>
  <si>
    <t xml:space="preserve">Min Restart time = </t>
  </si>
  <si>
    <t>Timer Pin</t>
  </si>
  <si>
    <t>Lower Threshold (Restart)</t>
  </si>
  <si>
    <t>End of Cycle</t>
  </si>
  <si>
    <t>Re-enable threshold</t>
  </si>
  <si>
    <t>Insertion time current</t>
  </si>
  <si>
    <t>Sink current, end of insertion</t>
  </si>
  <si>
    <t>Fault sink current</t>
  </si>
  <si>
    <t>Fault Response</t>
  </si>
  <si>
    <t>Retry</t>
  </si>
  <si>
    <t>Latch Off</t>
  </si>
  <si>
    <t>Power Good</t>
  </si>
  <si>
    <t>PGVOL</t>
  </si>
  <si>
    <t>mA sinking</t>
  </si>
  <si>
    <t>FB Pin</t>
  </si>
  <si>
    <t>FB Threshold</t>
  </si>
  <si>
    <t>FB Hysteresis Current</t>
  </si>
  <si>
    <t>Max PG Threshold =</t>
  </si>
  <si>
    <t>Nom PG Threshold =</t>
  </si>
  <si>
    <t>Min PG Threshold =</t>
  </si>
  <si>
    <t>Max Restart time =</t>
  </si>
  <si>
    <t>Min PG Hysteresis =</t>
  </si>
  <si>
    <t>Nom PG Hysteresis =</t>
  </si>
  <si>
    <t>Max PG Hysteresis =</t>
  </si>
  <si>
    <t>3. Componet tolerances not accounted for in Min/Max Calculations.</t>
  </si>
  <si>
    <t>Recommended Resistance for:  R1</t>
  </si>
  <si>
    <r>
      <t>Estimated MOSFET R</t>
    </r>
    <r>
      <rPr>
        <sz val="10"/>
        <rFont val="Symbol"/>
        <family val="1"/>
        <charset val="2"/>
      </rPr>
      <t>Q</t>
    </r>
    <r>
      <rPr>
        <vertAlign val="subscript"/>
        <sz val="10"/>
        <rFont val="Arial"/>
        <family val="2"/>
      </rPr>
      <t>JA</t>
    </r>
  </si>
  <si>
    <t>Values Used</t>
  </si>
  <si>
    <t xml:space="preserve"> </t>
  </si>
  <si>
    <r>
      <t>Effective Sense Resistance (R</t>
    </r>
    <r>
      <rPr>
        <vertAlign val="subscript"/>
        <sz val="10"/>
        <rFont val="Arial"/>
        <family val="2"/>
      </rPr>
      <t>S,EFF</t>
    </r>
    <r>
      <rPr>
        <sz val="10"/>
        <rFont val="Arial"/>
        <family val="2"/>
      </rPr>
      <t>)</t>
    </r>
  </si>
  <si>
    <t>Maximum Recommended Value for Effective Sense Resistance</t>
  </si>
  <si>
    <r>
      <t>Maximum steady state FET Junction Temperature (T</t>
    </r>
    <r>
      <rPr>
        <vertAlign val="subscript"/>
        <sz val="10"/>
        <rFont val="Arial"/>
        <family val="2"/>
      </rPr>
      <t>J,DC</t>
    </r>
    <r>
      <rPr>
        <sz val="10"/>
        <rFont val="Arial"/>
        <family val="2"/>
      </rPr>
      <t>)</t>
    </r>
  </si>
  <si>
    <r>
      <t>MOSFET On resistance @ T</t>
    </r>
    <r>
      <rPr>
        <vertAlign val="subscript"/>
        <sz val="10"/>
        <rFont val="Arial"/>
        <family val="2"/>
      </rPr>
      <t>J,DC</t>
    </r>
  </si>
  <si>
    <t>Systematic Offset</t>
  </si>
  <si>
    <t>Minimum Recommended Vsns</t>
  </si>
  <si>
    <t>&lt;= I am assuming this would have +/- 50% error at best</t>
  </si>
  <si>
    <t>A_coeff</t>
  </si>
  <si>
    <t>Vsns = Rpwr / (A*Vds) + Vos,syst</t>
  </si>
  <si>
    <t xml:space="preserve">Example: </t>
  </si>
  <si>
    <t>Rpwr</t>
  </si>
  <si>
    <t>Plim</t>
  </si>
  <si>
    <t>Rsns (m-ohm)</t>
  </si>
  <si>
    <t>Vsns (mV)</t>
  </si>
  <si>
    <t xml:space="preserve">Key Equations: </t>
  </si>
  <si>
    <t>How Plim varries vs Vds:</t>
  </si>
  <si>
    <t>Plim (Vds) = Plim (Vin,max) + (Vds - Vin,max)*Vos,syst/Rs</t>
  </si>
  <si>
    <t>Ex: Plim @ 13V = 100W, Rs = 0.5; Plim @ (Vds = 5V) = 100W - 7V * 1mV/0.5mili-ohm = 100W - 14W = 86W</t>
  </si>
  <si>
    <t>Target Power Limit</t>
  </si>
  <si>
    <r>
      <t>Calculated R</t>
    </r>
    <r>
      <rPr>
        <vertAlign val="subscript"/>
        <sz val="10"/>
        <rFont val="Arial"/>
        <family val="2"/>
      </rPr>
      <t>PWR</t>
    </r>
  </si>
  <si>
    <t>Target PLIM</t>
  </si>
  <si>
    <t>k-ohm</t>
  </si>
  <si>
    <r>
      <t>Actual R</t>
    </r>
    <r>
      <rPr>
        <vertAlign val="subscript"/>
        <sz val="10"/>
        <rFont val="Arial"/>
        <family val="2"/>
      </rPr>
      <t>PWR</t>
    </r>
  </si>
  <si>
    <t>Rpwr actual</t>
  </si>
  <si>
    <t>Final Plim</t>
  </si>
  <si>
    <t>Actual PLIM</t>
  </si>
  <si>
    <t>ILIM</t>
  </si>
  <si>
    <t>Load type</t>
  </si>
  <si>
    <t>Load Value</t>
  </si>
  <si>
    <t>Load start</t>
  </si>
  <si>
    <t>Rs</t>
  </si>
  <si>
    <t>Vos,syst</t>
  </si>
  <si>
    <r>
      <rPr>
        <b/>
        <u/>
        <sz val="10"/>
        <rFont val="Symbol"/>
        <family val="1"/>
        <charset val="2"/>
      </rPr>
      <t>D</t>
    </r>
    <r>
      <rPr>
        <b/>
        <u/>
        <sz val="10"/>
        <rFont val="Arial"/>
        <family val="2"/>
      </rPr>
      <t>t</t>
    </r>
  </si>
  <si>
    <t>IFET</t>
  </si>
  <si>
    <t>I_Fet-IL margin</t>
  </si>
  <si>
    <t>Start-time</t>
  </si>
  <si>
    <t>I_fet-I_L margin</t>
  </si>
  <si>
    <t>Slop for calculations</t>
  </si>
  <si>
    <t>Note: We get additional buffer, b/c this is designed for a Vinmax, while typically Vin = Vinnom</t>
  </si>
  <si>
    <t>&lt;= mean root square(T_start_error_Plim, timer_error, cap_error); T_start proportional to 1/Plim =&gt; T_start_error_plim = 1/(1-Plim_err) - 1 = 1/(1-0.4) - 1 = 0.66</t>
  </si>
  <si>
    <t>Computed Start - Up Slop</t>
  </si>
  <si>
    <t>Typical Start Time with Vinmax (Tstart)</t>
  </si>
  <si>
    <t>Target Fault Timer: Tstart + Margin</t>
  </si>
  <si>
    <t>Typical Start time</t>
  </si>
  <si>
    <t>Start-slop</t>
  </si>
  <si>
    <t>Target Fault Timer</t>
  </si>
  <si>
    <t>Target Timer capacitance</t>
  </si>
  <si>
    <t>Selected Timer capacitance</t>
  </si>
  <si>
    <t>IFET - ILOAD margin (lowest for Vout range)</t>
  </si>
  <si>
    <t xml:space="preserve">Selected Timer capacitance </t>
  </si>
  <si>
    <t>Final Fault Timer</t>
  </si>
  <si>
    <t>Note: I added an adjustment for the systematic offset</t>
  </si>
  <si>
    <t>Vos syst</t>
  </si>
  <si>
    <t>Rs (ohm)</t>
  </si>
  <si>
    <t>Vin, max</t>
  </si>
  <si>
    <t>Plim tolerance</t>
  </si>
  <si>
    <t>Temp Derated SOA</t>
  </si>
  <si>
    <t>Derated SOA / PLIM</t>
  </si>
  <si>
    <t>SOA / PLIM</t>
  </si>
  <si>
    <t>IFET_PLIM</t>
  </si>
  <si>
    <t>I_FET_SS</t>
  </si>
  <si>
    <t>SS</t>
  </si>
  <si>
    <t>FET Power dissapation at full load (per FET)</t>
  </si>
  <si>
    <t>With PLIM</t>
  </si>
  <si>
    <t>dv/dt rate</t>
  </si>
  <si>
    <t>V/ms</t>
  </si>
  <si>
    <t>I_Cout</t>
  </si>
  <si>
    <t>With SS</t>
  </si>
  <si>
    <t>To avoid timer running: Iload + Icap,ss &lt; IFET_PLIM / 2 =&gt; SS_RATE &lt; 1/Cout * (IFET_PLIM/2 - ILOAD)</t>
  </si>
  <si>
    <t>Max_SS_Rate</t>
  </si>
  <si>
    <t>FET_ENERGY</t>
  </si>
  <si>
    <t>J</t>
  </si>
  <si>
    <t>Max _allowed SS_rate</t>
  </si>
  <si>
    <t>Power (W)</t>
  </si>
  <si>
    <t>P_ fast_SS</t>
  </si>
  <si>
    <t>P_slow_SS</t>
  </si>
  <si>
    <t>I_g(hi/nom)</t>
  </si>
  <si>
    <t>I_g(low/nom)</t>
  </si>
  <si>
    <t>max_power_typ</t>
  </si>
  <si>
    <t>max_power_low</t>
  </si>
  <si>
    <t>max_power_high</t>
  </si>
  <si>
    <t>typical start time</t>
  </si>
  <si>
    <t>FET Energy dissipated at start-up (EFET)</t>
  </si>
  <si>
    <t>Peak Power dissipated  during start-up (PFET)</t>
  </si>
  <si>
    <t>Equivalent time at peak power - EFET/PFET (t_power)</t>
  </si>
  <si>
    <t>Available SOA for t_power at Vinmax</t>
  </si>
  <si>
    <t>SOA margin</t>
  </si>
  <si>
    <t>SOA Predictor - dv/dt start-up</t>
  </si>
  <si>
    <t>calculated SS capacitance</t>
  </si>
  <si>
    <t>actual SS capacitance</t>
  </si>
  <si>
    <t>actual dv/dt rate</t>
  </si>
  <si>
    <t>Target Fault Time</t>
  </si>
  <si>
    <t xml:space="preserve">Calculated Timer Capacitance </t>
  </si>
  <si>
    <t>Actual Timer Capacitance</t>
  </si>
  <si>
    <t>SOA margin during start-up</t>
  </si>
  <si>
    <t>Covering hot-short, start-into short for SS</t>
  </si>
  <si>
    <r>
      <t>Actual Timer Capacitance ( pick one smaller than C</t>
    </r>
    <r>
      <rPr>
        <vertAlign val="subscript"/>
        <sz val="10"/>
        <rFont val="Arial"/>
        <family val="2"/>
      </rPr>
      <t>T,CALC</t>
    </r>
    <r>
      <rPr>
        <sz val="10"/>
        <rFont val="Arial"/>
        <family val="2"/>
      </rPr>
      <t xml:space="preserve">) </t>
    </r>
  </si>
  <si>
    <t>Available derated SOA for Tfault</t>
  </si>
  <si>
    <t>Actual Fault Time (Tfault)</t>
  </si>
  <si>
    <t>dv/dt rate on Vout</t>
  </si>
  <si>
    <t>SOA Check - Based on Timer</t>
  </si>
  <si>
    <t>Final Fault Timer(Tfault)</t>
  </si>
  <si>
    <t>SOA margin during "hot-short" or "start-into short"</t>
  </si>
  <si>
    <t>timer_constant</t>
  </si>
  <si>
    <t>Enter Values in Green Shaded Cells</t>
  </si>
  <si>
    <t>Can a "hot" board be hotplugged</t>
  </si>
  <si>
    <t>Temp for derating</t>
  </si>
  <si>
    <t>board hot?</t>
  </si>
  <si>
    <t>FET_Energy</t>
  </si>
  <si>
    <t>Tiime (ms)</t>
  </si>
  <si>
    <t>Recommended slew Rate (max)</t>
  </si>
  <si>
    <t>Recommended slew Rate (min)</t>
  </si>
  <si>
    <r>
      <t>1ms SOA Current @ V</t>
    </r>
    <r>
      <rPr>
        <vertAlign val="subscript"/>
        <sz val="10"/>
        <rFont val="Arial"/>
        <family val="2"/>
      </rPr>
      <t>IN(MAX)</t>
    </r>
  </si>
  <si>
    <t xml:space="preserve">Key Equations for SOA margin estimate: </t>
  </si>
  <si>
    <t>1) Get total Energy = 1/2 CV^2 + E_load (t_worksheet) * t_start / t_ worksheet</t>
  </si>
  <si>
    <t xml:space="preserve">     note:  t_worksheet is the start time from the start-up worksheet.  E_load = Total Energy @ Start-up - 1/2CV^2</t>
  </si>
  <si>
    <t>2) Get peak power:  4 Possible points with peak power</t>
  </si>
  <si>
    <t>Cap Energy (J)</t>
  </si>
  <si>
    <t>slew rate (V/ms)</t>
  </si>
  <si>
    <t>E_load (t_worksheet)  (J)</t>
  </si>
  <si>
    <t>t_worksheet (ms)</t>
  </si>
  <si>
    <t>t_start (ms)</t>
  </si>
  <si>
    <t>I_cap (A)</t>
  </si>
  <si>
    <t>Total FET Energy (J)</t>
  </si>
  <si>
    <t>Power (load on), (W)</t>
  </si>
  <si>
    <t>SOA margin target</t>
  </si>
  <si>
    <t>Power (Vout= 0) , (W)</t>
  </si>
  <si>
    <t xml:space="preserve">                </t>
  </si>
  <si>
    <t xml:space="preserve"> P = (I_cap + Vout/R ) * (Vin - Vout) = Icap * Vin - Icap * Vout +Vin * Vout / R - Vout^2 / R </t>
  </si>
  <si>
    <t>Vout (dP/dVout = 0) (V)</t>
  </si>
  <si>
    <t xml:space="preserve"> =&gt;  dP/dVout =  -Icap + Vin/R -2Vout /R ;  Zero when Vout = -R*I_cap / 2 + Vin / 2</t>
  </si>
  <si>
    <t xml:space="preserve">Power (@ Vout above, if applicable) </t>
  </si>
  <si>
    <t>max power (W)</t>
  </si>
  <si>
    <t>Equivalent time for SOA (ms)</t>
  </si>
  <si>
    <t>SOA Coefficients</t>
  </si>
  <si>
    <t>0.1 to 1 ms</t>
  </si>
  <si>
    <t>t1</t>
  </si>
  <si>
    <t>t2</t>
  </si>
  <si>
    <t>Available SOA (W)</t>
  </si>
  <si>
    <t>Derated for Temp</t>
  </si>
  <si>
    <t>Temp_start_up</t>
  </si>
  <si>
    <t>SOA Margin</t>
  </si>
  <si>
    <t>Copied Inputs</t>
  </si>
  <si>
    <t># of points</t>
  </si>
  <si>
    <t>mult per point</t>
  </si>
  <si>
    <t xml:space="preserve">Pass? </t>
  </si>
  <si>
    <t>first yes</t>
  </si>
  <si>
    <t>2nd yes</t>
  </si>
  <si>
    <t>N</t>
  </si>
  <si>
    <t>Mult 1</t>
  </si>
  <si>
    <t>mult2</t>
  </si>
  <si>
    <t xml:space="preserve">max slew rate </t>
  </si>
  <si>
    <t>min slew rate</t>
  </si>
  <si>
    <t>Initial</t>
  </si>
  <si>
    <t>1.9 x Current Limit</t>
  </si>
  <si>
    <t>3.9 x Current Limit</t>
  </si>
  <si>
    <t xml:space="preserve">      a) At Vin = 0 [mainly if there is no load or constant current load that starts at Vout = 0=</t>
  </si>
  <si>
    <t xml:space="preserve">      b) At Vin = Load start [ constant current=</t>
  </si>
  <si>
    <t xml:space="preserve">      c) When derivative of power = 0  [Peak, applies to resistive loads only=</t>
  </si>
  <si>
    <t>Option C</t>
  </si>
  <si>
    <t>Option D</t>
  </si>
  <si>
    <t>C</t>
  </si>
  <si>
    <t>D</t>
  </si>
  <si>
    <t>Higher time</t>
  </si>
  <si>
    <r>
      <t>R</t>
    </r>
    <r>
      <rPr>
        <vertAlign val="subscript"/>
        <sz val="11"/>
        <color theme="1"/>
        <rFont val="Arial"/>
        <family val="2"/>
      </rPr>
      <t>SNS</t>
    </r>
    <r>
      <rPr>
        <sz val="11"/>
        <color theme="1"/>
        <rFont val="Arial"/>
        <family val="2"/>
      </rPr>
      <t xml:space="preserve"> =</t>
    </r>
  </si>
  <si>
    <r>
      <t>C</t>
    </r>
    <r>
      <rPr>
        <vertAlign val="subscript"/>
        <sz val="10"/>
        <rFont val="Arial"/>
        <family val="2"/>
      </rPr>
      <t>TIMER</t>
    </r>
    <r>
      <rPr>
        <sz val="10"/>
        <rFont val="Arial"/>
        <family val="2"/>
      </rPr>
      <t xml:space="preserve"> =</t>
    </r>
  </si>
  <si>
    <r>
      <t>C</t>
    </r>
    <r>
      <rPr>
        <vertAlign val="subscript"/>
        <sz val="10"/>
        <rFont val="Arial"/>
        <family val="2"/>
      </rPr>
      <t>dv/dt</t>
    </r>
    <r>
      <rPr>
        <sz val="10"/>
        <rFont val="Arial"/>
        <family val="2"/>
      </rPr>
      <t xml:space="preserve"> =</t>
    </r>
  </si>
  <si>
    <t>Note: If any of the cells above are yellow, then these values are outside of the device's operating range. This will result in the device turning either on or off at its operating limits rather than at the user selected values in yellow.</t>
  </si>
  <si>
    <t>&lt;-- Cannot plot zero on a log graph. If slope ~=0, then use 1e-12 as value</t>
  </si>
  <si>
    <t>Settings</t>
  </si>
  <si>
    <t>Upper bound Slew Rate (4ms start-up) (V/ms)</t>
  </si>
  <si>
    <t>Min Slew Rate (400 ms start - up) (V/ms)</t>
  </si>
  <si>
    <t>D2</t>
  </si>
  <si>
    <t>Lower time (adjusted)</t>
  </si>
  <si>
    <t>Higher time (adjusted)</t>
  </si>
  <si>
    <t>Typical design procedure</t>
  </si>
  <si>
    <t>Notes</t>
  </si>
  <si>
    <t xml:space="preserve">routine, day-to-day calculations.  </t>
  </si>
  <si>
    <t>3. Formulas and device constants used in the spreadsheet are locked to prohibit them from accidentally being overwritten or deleted.</t>
  </si>
  <si>
    <t>© 2014</t>
  </si>
  <si>
    <t xml:space="preserve">Yellow and Red cells highlight potential issues with the design. Red highlights items that are higher risk. </t>
  </si>
  <si>
    <t>2. All worksheets have light green inputs cells, white calculated cells, yellow warning cells and red high-risk cells.</t>
  </si>
  <si>
    <t>1. This worksheet is designed for use with Microsoft Excel 5.0 or later.  Its use is intended to assist power supply designers in their</t>
  </si>
  <si>
    <t>actual typical dv/dt rate on Vout</t>
  </si>
  <si>
    <t>Note: TI recommends choosing a FET with SOA current specified for 100ms and/or 1s or DC. If choosing a FET without these parameters, this calculator will estimate the values via extrapolation, which leaves an inherent associated risk.</t>
  </si>
  <si>
    <t>Z1</t>
  </si>
  <si>
    <t>D1</t>
  </si>
  <si>
    <t>B380-13-F</t>
  </si>
  <si>
    <t>LM5069 Datasheet (See "Design-In Procedure")</t>
  </si>
  <si>
    <t>55 mV</t>
  </si>
  <si>
    <t>Current Limit Threshold Voltage</t>
  </si>
  <si>
    <r>
      <t>Minimum Power Limit to Ensure Vsns &gt; 5mV (P</t>
    </r>
    <r>
      <rPr>
        <vertAlign val="subscript"/>
        <sz val="10"/>
        <rFont val="Arial"/>
        <family val="2"/>
      </rPr>
      <t>LIM,MIN</t>
    </r>
    <r>
      <rPr>
        <sz val="10"/>
        <rFont val="Arial"/>
        <family val="2"/>
      </rPr>
      <t>)</t>
    </r>
  </si>
  <si>
    <t>Rpwr =  A * [PLIM(Vds) * Rs]</t>
  </si>
  <si>
    <t>Plim (Vds) = 1/Rs * [ Rpwr/A]</t>
  </si>
  <si>
    <t>Note: This is the typical dv/dt rate, but max value can be 1.4x. This is because the gate source current can vary from 16uA to 22uA. Thus TI recommends keeping the overall SOA margin during start-up &gt;1.5 in order to compensate for this.</t>
  </si>
  <si>
    <t>Q1 FET Name</t>
  </si>
  <si>
    <t>Q1</t>
  </si>
  <si>
    <t>Q2</t>
  </si>
  <si>
    <t xml:space="preserve">TEXAS INSTRUMENTS TEXT FILE LICENSE
Copyright (c) 2014 Texas Instruments Incorporated
All rights reserved not granted herein.
Limited License.  
Texas Instruments Incorporated grants a world-wide, royalty-free, non-exclusive license under copyrights and patents it now or hereafter owns or controls to make, have made, use, import, offer to sell and sell ("Utilize") 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
Redistributions must preserve existing copyright notices and reproduce this license (including the above copyright notice and the disclaimer and (if applicable) source code license limitations below) in the documentation and/or other materials provided with the distribution
Redistribution and use in binary form, without modification, are permitted provided that the following conditions are met:
* No reverse engineering, decompilation, or disassembly of this software is permitted with respect to any software provided in binary form.
* any redistribution and use are licensed by TI for use only with TI Devices.
* Nothing shall obligate TI to provide you with source code for the software licensed and provided to you in object code.
If software source code is provided to you, modification and redistribution of the source code are permitted provided that the following conditions are met:
* any redistribution and use of the source code, including any resulting derivative works, are licensed by TI for use only with TI Devices.
* any redistribution and use of any object code compiled from the source code and any resulting derivative works, are licensed by TI for use only with TI Devices.
Neither the name of Texas Instruments Incorporated nor the names of its suppliers may be used to endorse or promote products derived from this software without specific prior written permission.
DISCLAIMER.
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t>
  </si>
  <si>
    <t>Robust Hot Swap Design</t>
  </si>
  <si>
    <t>LM5069 Datasheet</t>
  </si>
  <si>
    <r>
      <rPr>
        <b/>
        <u/>
        <sz val="10"/>
        <color rgb="FFFF0000"/>
        <rFont val="Arial"/>
        <family val="2"/>
      </rPr>
      <t>Note:</t>
    </r>
    <r>
      <rPr>
        <b/>
        <sz val="10"/>
        <color rgb="FFFF0000"/>
        <rFont val="Arial"/>
        <family val="2"/>
      </rPr>
      <t xml:space="preserve"> Hover here to see the 3 values affecting this curve, consult a thermal expert if you are unsure! </t>
    </r>
  </si>
  <si>
    <t>Preferred FET operating junction temperature (Tj,DC)</t>
  </si>
  <si>
    <t>Fault timer required</t>
  </si>
  <si>
    <t>System startup mode</t>
  </si>
  <si>
    <t>Webpage</t>
  </si>
  <si>
    <r>
      <rPr>
        <sz val="10"/>
        <rFont val="Calibri"/>
        <family val="2"/>
      </rPr>
      <t>°</t>
    </r>
    <r>
      <rPr>
        <sz val="10"/>
        <rFont val="Arial"/>
        <family val="2"/>
      </rPr>
      <t>C</t>
    </r>
  </si>
  <si>
    <t>Maximum Junction Temperature</t>
  </si>
  <si>
    <t>Maximum Rds(on)</t>
  </si>
  <si>
    <r>
      <t>m</t>
    </r>
    <r>
      <rPr>
        <sz val="10"/>
        <rFont val="Calibri"/>
        <family val="2"/>
      </rPr>
      <t>Ω</t>
    </r>
  </si>
  <si>
    <t>Rds(on) vs Temperature</t>
  </si>
  <si>
    <t>Maximum Load Current</t>
  </si>
  <si>
    <t>Maximum Ambient Temperature</t>
  </si>
  <si>
    <r>
      <t>R</t>
    </r>
    <r>
      <rPr>
        <sz val="10"/>
        <rFont val="Symbol"/>
        <family val="1"/>
        <charset val="2"/>
      </rPr>
      <t>Q</t>
    </r>
    <r>
      <rPr>
        <vertAlign val="subscript"/>
        <sz val="10"/>
        <rFont val="Arial"/>
        <family val="2"/>
      </rPr>
      <t>JA</t>
    </r>
  </si>
  <si>
    <t xml:space="preserve">Operation Temp required </t>
  </si>
  <si>
    <t>datasheet</t>
  </si>
  <si>
    <t>Number of FETs</t>
  </si>
  <si>
    <t>FET round-up</t>
  </si>
  <si>
    <t>FET power dissipation</t>
  </si>
  <si>
    <t>Operating Temperature</t>
  </si>
  <si>
    <t>cost 1k USD</t>
  </si>
  <si>
    <t>Time(ms)</t>
  </si>
  <si>
    <t>Timer Duration</t>
  </si>
  <si>
    <t>Lower Current</t>
  </si>
  <si>
    <t>Higher Timer</t>
  </si>
  <si>
    <t>Higher Current</t>
  </si>
  <si>
    <t>Current</t>
  </si>
  <si>
    <t>Power</t>
  </si>
  <si>
    <t>Derating Factor</t>
  </si>
  <si>
    <t>Power at Hot-Short</t>
  </si>
  <si>
    <t>Margin</t>
  </si>
  <si>
    <t>Selected FET</t>
  </si>
  <si>
    <t>°C/W</t>
  </si>
  <si>
    <t>Not Applicable</t>
  </si>
  <si>
    <t>CSD18536KTT</t>
  </si>
  <si>
    <t>CSD18535KTT</t>
  </si>
  <si>
    <t>CSD18540Q5B</t>
  </si>
  <si>
    <t>CSD19506KTT</t>
  </si>
  <si>
    <t>CSD19505KTT</t>
  </si>
  <si>
    <t>CSD18532Q5B</t>
  </si>
  <si>
    <t>CSD18532NQ5B</t>
  </si>
  <si>
    <t>CSD18542KTT</t>
  </si>
  <si>
    <t>CSD19502Q5B</t>
  </si>
  <si>
    <t>CSD18532KCS</t>
  </si>
  <si>
    <t>CSD18531Q5A</t>
  </si>
  <si>
    <t>CSD18533Q5A</t>
  </si>
  <si>
    <t>CSD19501KCS</t>
  </si>
  <si>
    <t>CSD18563Q5A</t>
  </si>
  <si>
    <t>CSD19503KCS</t>
  </si>
  <si>
    <t>CSD18534Q5A</t>
  </si>
  <si>
    <t>CSD18543Q3A</t>
  </si>
  <si>
    <t>CSD18537NQ5A</t>
  </si>
  <si>
    <t>CSD19538Q3A</t>
  </si>
  <si>
    <t>CSD19536KTT</t>
  </si>
  <si>
    <t>CSD19535KTT</t>
  </si>
  <si>
    <t>CSD19532Q5B</t>
  </si>
  <si>
    <t>CSD19532KTT</t>
  </si>
  <si>
    <t>CSD19531Q5A</t>
  </si>
  <si>
    <t>CSD19533Q5A</t>
  </si>
  <si>
    <t>CSD19537Q3</t>
  </si>
  <si>
    <t>CSD19534Q5A</t>
  </si>
  <si>
    <t>CSD19538Q2</t>
  </si>
  <si>
    <t>Choose FETs for comparison</t>
  </si>
  <si>
    <r>
      <t>10</t>
    </r>
    <r>
      <rPr>
        <sz val="10"/>
        <rFont val="Symbol"/>
        <family val="1"/>
        <charset val="2"/>
      </rPr>
      <t>m</t>
    </r>
    <r>
      <rPr>
        <sz val="10"/>
        <rFont val="Arial"/>
        <family val="2"/>
      </rPr>
      <t>s SOA Current@ V</t>
    </r>
    <r>
      <rPr>
        <vertAlign val="subscript"/>
        <sz val="10"/>
        <rFont val="Arial"/>
        <family val="2"/>
      </rPr>
      <t>IN(MAX)</t>
    </r>
  </si>
  <si>
    <r>
      <t>100</t>
    </r>
    <r>
      <rPr>
        <sz val="10"/>
        <rFont val="Calibri"/>
        <family val="2"/>
      </rPr>
      <t>µ</t>
    </r>
    <r>
      <rPr>
        <sz val="10"/>
        <rFont val="Arial"/>
        <family val="2"/>
      </rPr>
      <t>s SOA Current @ V</t>
    </r>
    <r>
      <rPr>
        <vertAlign val="subscript"/>
        <sz val="10"/>
        <rFont val="Arial"/>
        <family val="2"/>
      </rPr>
      <t>IN(MAX)</t>
    </r>
  </si>
  <si>
    <r>
      <t>10ms  Current at @ V</t>
    </r>
    <r>
      <rPr>
        <vertAlign val="subscript"/>
        <sz val="10"/>
        <rFont val="Arial"/>
        <family val="2"/>
      </rPr>
      <t>IN(MAX)</t>
    </r>
  </si>
  <si>
    <r>
      <t>100ms SOA Current at @ V</t>
    </r>
    <r>
      <rPr>
        <vertAlign val="subscript"/>
        <sz val="10"/>
        <rFont val="Arial"/>
        <family val="2"/>
      </rPr>
      <t>IN(MAX)</t>
    </r>
  </si>
  <si>
    <t>Number of FETs suggested</t>
  </si>
  <si>
    <t>Webpage Link</t>
  </si>
  <si>
    <t>Cost per FET (1k USD)</t>
  </si>
  <si>
    <t>Total Cost of the FETs</t>
  </si>
  <si>
    <t>FET1</t>
  </si>
  <si>
    <t>Column Number</t>
  </si>
  <si>
    <t>MOSFET Power Dissipation</t>
  </si>
  <si>
    <t>On resistance at Junction temp</t>
  </si>
  <si>
    <t>webpage link</t>
  </si>
  <si>
    <t>datasheet link</t>
  </si>
  <si>
    <t>FET2</t>
  </si>
  <si>
    <t>$</t>
  </si>
  <si>
    <t>FET3</t>
  </si>
  <si>
    <t>cost</t>
  </si>
  <si>
    <t>power dissipation</t>
  </si>
  <si>
    <t>https://www.ti.com/product/CSD18536KTT</t>
  </si>
  <si>
    <t>https://www.ti.com/lit/gpn/csd18536ktt</t>
  </si>
  <si>
    <t>https://www.ti.com/product/CSD18535KTT</t>
  </si>
  <si>
    <t>https://www.ti.com/lit/gpn/csd18535ktt</t>
  </si>
  <si>
    <t>https://www.ti.com/product/CSD18540Q5B</t>
  </si>
  <si>
    <t>https://www.ti.com/lit/gpn/csd18540q5b</t>
  </si>
  <si>
    <t>https://www.ti.com/product/CSD19506KTT</t>
  </si>
  <si>
    <t>https://www.ti.com/lit/gpn/csd19506ktt</t>
  </si>
  <si>
    <t>https://www.ti.com/product/CSD19505KTT</t>
  </si>
  <si>
    <t>https://www.ti.com/lit/gpn/csd19505ktt</t>
  </si>
  <si>
    <t>https://www.ti.com/product/CSD18532Q5B</t>
  </si>
  <si>
    <t>https://www.ti.com/lit/gpn/csd18532q5b</t>
  </si>
  <si>
    <t>https://www.ti.com/product/CSD18532NQ5B</t>
  </si>
  <si>
    <t>https://www.ti.com/lit/gpn/csd18532nq5b</t>
  </si>
  <si>
    <t>https://www.ti.com/product/CSD18542KTT</t>
  </si>
  <si>
    <t>https://www.ti.com/lit/gpn/csd18542ktt</t>
  </si>
  <si>
    <t>https://www.ti.com/product/CSD19502Q5B</t>
  </si>
  <si>
    <t>https://www.ti.com/lit/gpn/csd19502q5b</t>
  </si>
  <si>
    <t>https://www.ti.com/product/CSD18532KCS</t>
  </si>
  <si>
    <t>https://www.ti.com/lit/gpn/csd18532kcs</t>
  </si>
  <si>
    <t>https://www.ti.com/product/CSD18531Q5A</t>
  </si>
  <si>
    <t>https://www.ti.com/lit/gpn/csd18531q5a</t>
  </si>
  <si>
    <t>https://www.ti.com/product/CSD18533Q5A</t>
  </si>
  <si>
    <t>https://www.ti.com/lit/gpn/csd18533q5a</t>
  </si>
  <si>
    <t>https://www.ti.com/product/CSD19501KCS</t>
  </si>
  <si>
    <t>https://www.ti.com/lit/gpn/csd19501kcs</t>
  </si>
  <si>
    <t>https://www.ti.com/product/CSD18563Q5A</t>
  </si>
  <si>
    <t>https://www.ti.com/lit/gpn/csd18563q5a</t>
  </si>
  <si>
    <t>https://www.ti.com/product/CSD19503KCS</t>
  </si>
  <si>
    <t>https://www.ti.com/lit/gpn/csd19503kcs</t>
  </si>
  <si>
    <t>https://www.ti.com/lit/gpn/csd18534q5a</t>
  </si>
  <si>
    <t>https://www.ti.com/product/CSD18534Q5A</t>
  </si>
  <si>
    <t>https://www.ti.com/product/CSD18543Q3A</t>
  </si>
  <si>
    <t>https://www.ti.com/lit/gpn/csd18543q3a</t>
  </si>
  <si>
    <t>https://www.ti.com/product/CSD18537NQ5A</t>
  </si>
  <si>
    <t>https://www.ti.com/lit/gpn/csd18537nq5a</t>
  </si>
  <si>
    <t>https://www.ti.com/product/CSD19536KTT</t>
  </si>
  <si>
    <t>https://www.ti.com/lit/gpn/csd19536ktt</t>
  </si>
  <si>
    <t>https://www.ti.com/product/CSD19535KTT</t>
  </si>
  <si>
    <t>https://www.ti.com/lit/gpn/csd19535ktt</t>
  </si>
  <si>
    <t>https://www.ti.com/product/CSD19532Q5B</t>
  </si>
  <si>
    <t>https://www.ti.com/lit/gpn/csd19532q5b</t>
  </si>
  <si>
    <t>https://www.ti.com/product/CSD19532KTT</t>
  </si>
  <si>
    <t>https://www.ti.com/lit/gpn/csd19532ktt</t>
  </si>
  <si>
    <t>https://www.ti.com/product/CSD19531Q5A</t>
  </si>
  <si>
    <t>https://www.ti.com/lit/gpn/csd19531q5a</t>
  </si>
  <si>
    <t>https://www.ti.com/product/CSD19533Q5A</t>
  </si>
  <si>
    <t>https://www.ti.com/lit/gpn/csd19533q5a</t>
  </si>
  <si>
    <t>https://www.ti.com/product/CSD19537Q3</t>
  </si>
  <si>
    <t>https://www.ti.com/lit/gpn/csd19537q3</t>
  </si>
  <si>
    <t>https://www.ti.com/product/CSD19534Q5A</t>
  </si>
  <si>
    <t>https://www.ti.com/lit/gpn/csd19534q5a</t>
  </si>
  <si>
    <t>https://www.ti.com/product/CSD19538Q2</t>
  </si>
  <si>
    <t>https://www.ti.com/lit/gpn/csd19538q2</t>
  </si>
  <si>
    <t>https://www.ti.com/product/CSD19538Q3A</t>
  </si>
  <si>
    <t>https://www.ti.com/lit/gpn/csd19538q3a</t>
  </si>
  <si>
    <t>Enter webpage link</t>
  </si>
  <si>
    <t>Enter cost details</t>
  </si>
  <si>
    <t>FET 1</t>
  </si>
  <si>
    <t>10us</t>
  </si>
  <si>
    <t>FET 2</t>
  </si>
  <si>
    <t>FET 3</t>
  </si>
  <si>
    <t>0.01 to 0.1 ms</t>
  </si>
  <si>
    <t>0.1 to 1ms</t>
  </si>
  <si>
    <t>10ms to 100ms</t>
  </si>
  <si>
    <t>1ms to 10ms</t>
  </si>
  <si>
    <t>0.1ms to 1ms</t>
  </si>
  <si>
    <t>0.01ms to 0.1 ms</t>
  </si>
  <si>
    <t>MOSFET's SOA</t>
  </si>
  <si>
    <r>
      <t>V</t>
    </r>
    <r>
      <rPr>
        <b/>
        <vertAlign val="subscript"/>
        <sz val="10"/>
        <rFont val="Arial"/>
        <family val="2"/>
      </rPr>
      <t>DS</t>
    </r>
  </si>
  <si>
    <r>
      <t>I</t>
    </r>
    <r>
      <rPr>
        <b/>
        <vertAlign val="subscript"/>
        <sz val="10"/>
        <rFont val="Arial"/>
        <family val="2"/>
      </rPr>
      <t>D</t>
    </r>
  </si>
  <si>
    <t>(V)</t>
  </si>
  <si>
    <t>(A)</t>
  </si>
  <si>
    <t>10us SOA Current Maximum Input Voltage</t>
  </si>
  <si>
    <t>100us SOA Current Maximum Input Voltage</t>
  </si>
  <si>
    <t>10ms SOA Current at Maximum Input Voltage</t>
  </si>
  <si>
    <t>100ms SOA Current at Maximum Input Voltage</t>
  </si>
  <si>
    <t>Derated at TJDC</t>
  </si>
  <si>
    <t>Select preferred FET from the dropdown menu</t>
  </si>
  <si>
    <t>Timer Overview</t>
  </si>
  <si>
    <t>Part Number , SOA margin, $1ku</t>
  </si>
  <si>
    <t>1 to 10 ms</t>
  </si>
  <si>
    <t>10 to 100 ms</t>
  </si>
  <si>
    <r>
      <rPr>
        <sz val="10"/>
        <rFont val="Calibri"/>
        <family val="2"/>
      </rPr>
      <t>°</t>
    </r>
    <r>
      <rPr>
        <sz val="11"/>
        <rFont val="Arial"/>
        <family val="2"/>
      </rPr>
      <t>C</t>
    </r>
  </si>
  <si>
    <t>#FETs in parallel</t>
  </si>
  <si>
    <t>Design Results</t>
  </si>
  <si>
    <r>
      <rPr>
        <b/>
        <u/>
        <sz val="10"/>
        <rFont val="Arial"/>
        <family val="2"/>
      </rPr>
      <t>Note:</t>
    </r>
    <r>
      <rPr>
        <sz val="10"/>
        <rFont val="Arial"/>
        <family val="2"/>
      </rPr>
      <t xml:space="preserve"> In case none of the FETs satisfy the SOA margin, reduce the fault timer</t>
    </r>
  </si>
  <si>
    <r>
      <rPr>
        <b/>
        <u/>
        <sz val="10"/>
        <rFont val="Arial"/>
        <family val="2"/>
      </rPr>
      <t>Note:</t>
    </r>
    <r>
      <rPr>
        <sz val="10"/>
        <rFont val="Arial"/>
        <family val="2"/>
      </rPr>
      <t xml:space="preserve"> In case none of the FETs satisfy the SOA margin, reduce the load startup conditions</t>
    </r>
  </si>
  <si>
    <r>
      <rPr>
        <b/>
        <u/>
        <sz val="10"/>
        <rFont val="Arial"/>
        <family val="2"/>
      </rPr>
      <t>Note:</t>
    </r>
    <r>
      <rPr>
        <sz val="10"/>
        <rFont val="Arial"/>
        <family val="2"/>
      </rPr>
      <t xml:space="preserve"> Use a resistive divider to fine tune the current limit setting if needed</t>
    </r>
  </si>
  <si>
    <t xml:space="preserve">Step 1: </t>
  </si>
  <si>
    <t>2. Enter FET operating parameters (preferred FET operating junction temperature, thermal impedance)</t>
  </si>
  <si>
    <r>
      <rPr>
        <b/>
        <i/>
        <u/>
        <sz val="10"/>
        <rFont val="Arial"/>
        <family val="2"/>
      </rPr>
      <t>Note:</t>
    </r>
    <r>
      <rPr>
        <b/>
        <i/>
        <sz val="10"/>
        <rFont val="Arial"/>
        <family val="2"/>
      </rPr>
      <t xml:space="preserve"> The tool adjusts the number of FETs required in parallel to maintain the preferred FET operating junction temperature.</t>
    </r>
  </si>
  <si>
    <t>Thermal impedance is required to determine MOSFET SOA margin.</t>
  </si>
  <si>
    <t>3. Enter the load startup conditions (startup mode, startup load type, load turn on threshold, startup load value)</t>
  </si>
  <si>
    <t>Step 2:</t>
  </si>
  <si>
    <t>1. Set the current limit settings. Use a resistive divider to reduce effective sense resistance if needed.</t>
  </si>
  <si>
    <t>Step 3:</t>
  </si>
  <si>
    <t>1. Select MOSFETs from the dropdown menu.</t>
  </si>
  <si>
    <r>
      <rPr>
        <b/>
        <i/>
        <u/>
        <sz val="10"/>
        <rFont val="Arial"/>
        <family val="2"/>
      </rPr>
      <t>Note:</t>
    </r>
    <r>
      <rPr>
        <b/>
        <i/>
        <sz val="10"/>
        <rFont val="Arial"/>
        <family val="2"/>
      </rPr>
      <t xml:space="preserve"> You can also enter the SOA data of a non-TI FET to compare it with TI FETs.</t>
    </r>
  </si>
  <si>
    <t>An SOA margin greater than 1.1 is required and greater than 1.3 is recommended for safe operation</t>
  </si>
  <si>
    <t>3. If none of the FETs satisfy the SOA margin, try to change the following parameters:</t>
  </si>
  <si>
    <r>
      <rPr>
        <b/>
        <i/>
        <u/>
        <sz val="10"/>
        <rFont val="Arial"/>
        <family val="2"/>
      </rPr>
      <t>Note:</t>
    </r>
    <r>
      <rPr>
        <b/>
        <i/>
        <sz val="10"/>
        <rFont val="Arial"/>
        <family val="2"/>
      </rPr>
      <t xml:space="preserve"> The FETs selected in this section will be available as the final choices in the next section.</t>
    </r>
  </si>
  <si>
    <t>(Links to the TI FET product pages have been provided)</t>
  </si>
  <si>
    <t>Step 4:</t>
  </si>
  <si>
    <t>1. Select an FET from the dropdown menu.</t>
  </si>
  <si>
    <t>2. Review start up conditions to check whether selected FET is operating with reasonable margin, within the SOA curve.</t>
  </si>
  <si>
    <t>Step 5:</t>
  </si>
  <si>
    <t>1. Enter desired UVLO and OVLO threshold values to get recommended resistor values.</t>
  </si>
  <si>
    <t>2. In case any of the cells in the threshold table is highlighted in red, adjust the resistor values.</t>
  </si>
  <si>
    <t xml:space="preserve">3. If nearest resistor values still give red highlighted cells, change the configuration </t>
  </si>
  <si>
    <t>Step 6:</t>
  </si>
  <si>
    <t>Done. View the design summary with all the results</t>
  </si>
  <si>
    <t>NON-TI MOSFET</t>
  </si>
  <si>
    <t>Note: If none of the FETs are meeting the requirement, reduce the fault timer or select a stronger FET in cell H62</t>
  </si>
  <si>
    <t>Note: If none of the FETs are meeting the requirement, reduce the startup load or select a stronger FET in cell H62</t>
  </si>
  <si>
    <t>FET display name (24V FETs)</t>
  </si>
  <si>
    <t>FET display name (48V FETs)</t>
  </si>
  <si>
    <t>FET part number (48V FETs)</t>
  </si>
  <si>
    <t>FET part number (24V FETs)</t>
  </si>
  <si>
    <t>Soft Start</t>
  </si>
  <si>
    <t>LM5069 Design Tool with FET Recommendation - Rev. A</t>
  </si>
  <si>
    <t xml:space="preserve">Before proceeding, please go through the application note </t>
  </si>
  <si>
    <t xml:space="preserve">and the design example in the </t>
  </si>
  <si>
    <t>1. Enter your system parameters (operating voltage limits, load current, load capacitance, system max ambient temperature )</t>
  </si>
  <si>
    <r>
      <rPr>
        <b/>
        <i/>
        <u/>
        <sz val="10"/>
        <rFont val="Arial"/>
        <family val="2"/>
      </rPr>
      <t>Note:</t>
    </r>
    <r>
      <rPr>
        <b/>
        <i/>
        <sz val="10"/>
        <rFont val="Arial"/>
        <family val="2"/>
      </rPr>
      <t xml:space="preserve"> Thermal impedance is heavily dependent on the board layout and the amount of copper connected to the drain of the FET. </t>
    </r>
  </si>
  <si>
    <t>2. Select Target power limit greater than the Minimum Recommended Power Limit threshold</t>
  </si>
  <si>
    <t>2.  Compare their SOA margin, cost, power dissipation at full load and number of FETs required in parallel to know which FET fits your design perfectly.</t>
  </si>
  <si>
    <t>a. In case of power limit startup mode, reduce the load startup conditions or use a different FET in the non-TI FET column.</t>
  </si>
  <si>
    <t xml:space="preserve">b. In case of soft start startup mode, reduce the fault timer or use a different FET in the non-TI FET column. </t>
  </si>
  <si>
    <t>3. Adjust Soft-start and Timer capacitances to get accurate SOA measurements.</t>
  </si>
  <si>
    <t>* Comments on the data to be filled/expected are provided to guide you</t>
  </si>
  <si>
    <t>Scroll down the dropdown menu to select MOSFET</t>
  </si>
  <si>
    <t xml:space="preserve">                         LM5069 Hot Swap Design Tool with FET Recommendation</t>
  </si>
  <si>
    <t>*For additional questions not addressed in the instructions, please post on E2E.ti.com</t>
  </si>
  <si>
    <r>
      <rPr>
        <b/>
        <u/>
        <sz val="10"/>
        <rFont val="Arial"/>
        <family val="2"/>
      </rPr>
      <t>Note:</t>
    </r>
    <r>
      <rPr>
        <sz val="10"/>
        <rFont val="Arial"/>
        <family val="2"/>
      </rPr>
      <t xml:space="preserve"> The tool adjusts the number of FETs required in parallel to maintain the preferred FET operating junction temperature</t>
    </r>
    <r>
      <rPr>
        <sz val="10"/>
        <rFont val="Arial"/>
        <family val="2"/>
      </rPr>
      <t xml:space="preserve">  (TJ,DC)</t>
    </r>
  </si>
  <si>
    <t>Step 1: System Parameters</t>
  </si>
  <si>
    <t>Step 2:  Current Limit and Power Limit Selection</t>
  </si>
  <si>
    <t>MOSFET from non-TI suppliers</t>
  </si>
  <si>
    <t>Enter Webpage Link</t>
  </si>
  <si>
    <t>Enter Cost Details</t>
  </si>
  <si>
    <t>Step 3: MOSFET Suggestions</t>
  </si>
  <si>
    <t>SMBJ33A</t>
  </si>
  <si>
    <t>CSD18535KTT , 0.94 , $1.266</t>
  </si>
  <si>
    <t>CSD18540Q5B , 0.36 , $0.867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</si>
</sst>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E+0"/>
    <numFmt numFmtId="167" formatCode="0.0000"/>
    <numFmt numFmtId="168" formatCode="[$$-409]#,##0.000"/>
  </numFmts>
  <fonts count="59">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8"/>
      <color indexed="81"/>
      <name val="Tahoma"/>
      <family val="2"/>
    </font>
    <font>
      <vertAlign val="subscript"/>
      <sz val="10"/>
      <name val="Arial"/>
      <family val="2"/>
    </font>
    <font>
      <sz val="10"/>
      <name val="Arial"/>
      <family val="2"/>
    </font>
    <font>
      <b/>
      <sz val="10"/>
      <color indexed="10"/>
      <name val="Arial"/>
      <family val="2"/>
    </font>
    <font>
      <sz val="10"/>
      <color indexed="55"/>
      <name val="Arial"/>
      <family val="2"/>
    </font>
    <font>
      <sz val="10"/>
      <name val="Symbol"/>
      <family val="1"/>
      <charset val="2"/>
    </font>
    <font>
      <b/>
      <sz val="9"/>
      <color indexed="81"/>
      <name val="Tahoma"/>
      <family val="2"/>
    </font>
    <font>
      <sz val="9"/>
      <color indexed="81"/>
      <name val="Tahoma"/>
      <family val="2"/>
    </font>
    <font>
      <b/>
      <sz val="12"/>
      <color rgb="FFFF0000"/>
      <name val="Calibri"/>
      <family val="2"/>
    </font>
    <font>
      <u/>
      <sz val="10"/>
      <color theme="10"/>
      <name val="Arial"/>
      <family val="2"/>
    </font>
    <font>
      <u/>
      <sz val="10"/>
      <color theme="0"/>
      <name val="Arial"/>
      <family val="2"/>
    </font>
    <font>
      <sz val="10"/>
      <name val="Calibri"/>
      <family val="2"/>
    </font>
    <font>
      <sz val="24"/>
      <color theme="0"/>
      <name val="Arial"/>
      <family val="2"/>
    </font>
    <font>
      <sz val="26"/>
      <color theme="0"/>
      <name val="Arial"/>
      <family val="2"/>
    </font>
    <font>
      <sz val="10"/>
      <color theme="0"/>
      <name val="Calibri"/>
      <family val="2"/>
    </font>
    <font>
      <b/>
      <sz val="11"/>
      <color rgb="FF0000FF"/>
      <name val="Arial"/>
      <family val="2"/>
    </font>
    <font>
      <sz val="11"/>
      <color theme="1"/>
      <name val="Arial"/>
      <family val="2"/>
    </font>
    <font>
      <vertAlign val="subscript"/>
      <sz val="11"/>
      <color theme="1"/>
      <name val="Arial"/>
      <family val="2"/>
    </font>
    <font>
      <b/>
      <sz val="11"/>
      <name val="Arial"/>
      <family val="2"/>
    </font>
    <font>
      <vertAlign val="superscript"/>
      <sz val="10"/>
      <name val="Arial"/>
      <family val="2"/>
    </font>
    <font>
      <b/>
      <u/>
      <sz val="10"/>
      <name val="Arial"/>
      <family val="2"/>
    </font>
    <font>
      <u/>
      <sz val="10"/>
      <name val="Arial"/>
      <family val="2"/>
    </font>
    <font>
      <sz val="11"/>
      <color rgb="FF000000"/>
      <name val="Calibri"/>
      <family val="2"/>
      <scheme val="minor"/>
    </font>
    <font>
      <sz val="10"/>
      <color rgb="FFFF0000"/>
      <name val="Arial"/>
      <family val="2"/>
    </font>
    <font>
      <b/>
      <u/>
      <sz val="10"/>
      <name val="Symbol"/>
      <family val="1"/>
      <charset val="2"/>
    </font>
    <font>
      <b/>
      <sz val="10"/>
      <color rgb="FFFF0000"/>
      <name val="Arial"/>
      <family val="2"/>
    </font>
    <font>
      <b/>
      <sz val="24"/>
      <name val="Arial"/>
      <family val="2"/>
    </font>
    <font>
      <sz val="12"/>
      <name val="MS Sans Serif"/>
      <family val="2"/>
    </font>
    <font>
      <b/>
      <sz val="18"/>
      <name val="Arial"/>
      <family val="2"/>
    </font>
    <font>
      <b/>
      <i/>
      <sz val="16"/>
      <name val="Arial"/>
      <family val="2"/>
    </font>
    <font>
      <b/>
      <i/>
      <sz val="11"/>
      <name val="Arial"/>
      <family val="2"/>
    </font>
    <font>
      <b/>
      <i/>
      <sz val="10"/>
      <name val="Arial"/>
      <family val="2"/>
    </font>
    <font>
      <b/>
      <sz val="9"/>
      <color rgb="FFFF0000"/>
      <name val="Arial"/>
      <family val="2"/>
    </font>
    <font>
      <sz val="11"/>
      <color rgb="FF000000"/>
      <name val="Arial"/>
      <family val="2"/>
    </font>
    <font>
      <u/>
      <sz val="12"/>
      <color theme="10"/>
      <name val="Arial"/>
      <family val="2"/>
    </font>
    <font>
      <sz val="11"/>
      <name val="Arial"/>
      <family val="2"/>
    </font>
    <font>
      <b/>
      <u/>
      <sz val="10"/>
      <color rgb="FFFF0000"/>
      <name val="Arial"/>
      <family val="2"/>
    </font>
    <font>
      <sz val="14"/>
      <name val="Arial"/>
      <family val="2"/>
    </font>
    <font>
      <sz val="10"/>
      <name val="Arial Unicode MS"/>
      <family val="2"/>
    </font>
    <font>
      <sz val="11"/>
      <color indexed="8"/>
      <name val="Calibri"/>
      <family val="2"/>
    </font>
    <font>
      <sz val="10"/>
      <color theme="1"/>
      <name val="Arial"/>
      <family val="2"/>
    </font>
    <font>
      <sz val="25"/>
      <name val="Arial"/>
      <family val="2"/>
    </font>
    <font>
      <b/>
      <vertAlign val="subscript"/>
      <sz val="10"/>
      <name val="Arial"/>
      <family val="2"/>
    </font>
    <font>
      <b/>
      <sz val="8"/>
      <color indexed="10"/>
      <name val="Tahoma"/>
      <family val="2"/>
    </font>
    <font>
      <b/>
      <sz val="10"/>
      <color theme="0"/>
      <name val="Arial"/>
      <family val="2"/>
    </font>
    <font>
      <b/>
      <i/>
      <u/>
      <sz val="10"/>
      <name val="Arial"/>
      <family val="2"/>
    </font>
    <font>
      <b/>
      <i/>
      <sz val="10"/>
      <color rgb="FF0000FF"/>
      <name val="Arial"/>
      <family val="2"/>
    </font>
    <font>
      <sz val="10"/>
      <color rgb="FF0000FF"/>
      <name val="Arial"/>
      <family val="2"/>
    </font>
    <font>
      <b/>
      <sz val="12"/>
      <color theme="0"/>
      <name val="Arial"/>
      <family val="2"/>
    </font>
    <font>
      <b/>
      <sz val="8"/>
      <color rgb="FF000000"/>
      <name val="Tahoma"/>
      <family val="2"/>
    </font>
    <font>
      <b/>
      <sz val="8"/>
      <color rgb="FF000000"/>
      <name val="Arial"/>
      <family val="2"/>
    </font>
    <font>
      <b/>
      <sz val="9"/>
      <color rgb="FF000000"/>
      <name val="Tahoma"/>
      <family val="2"/>
    </font>
    <font>
      <sz val="9"/>
      <color rgb="FF000000"/>
      <name val="Tahoma"/>
      <family val="2"/>
    </font>
  </fonts>
  <fills count="17">
    <fill>
      <patternFill patternType="none"/>
    </fill>
    <fill>
      <patternFill patternType="gray125"/>
    </fill>
    <fill>
      <patternFill patternType="solid">
        <fgColor indexed="65"/>
        <bgColor indexed="64"/>
      </patternFill>
    </fill>
    <fill>
      <patternFill patternType="solid">
        <fgColor theme="0"/>
        <bgColor indexed="64"/>
      </patternFill>
    </fill>
    <fill>
      <patternFill patternType="solid">
        <fgColor rgb="FFFF000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14996795556505021"/>
        <bgColor indexed="64"/>
      </patternFill>
    </fill>
    <fill>
      <patternFill patternType="solid">
        <fgColor theme="5" tint="0.39997558519241921"/>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indexed="13"/>
        <bgColor indexed="64"/>
      </patternFill>
    </fill>
    <fill>
      <patternFill patternType="solid">
        <fgColor rgb="FFFFC000"/>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7" tint="-0.24994659260841701"/>
        <bgColor indexed="64"/>
      </patternFill>
    </fill>
    <fill>
      <patternFill patternType="solid">
        <fgColor rgb="FF0000FF"/>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top style="medium">
        <color auto="1"/>
      </top>
      <bottom/>
      <diagonal/>
    </border>
    <border>
      <left/>
      <right/>
      <top style="medium">
        <color auto="1"/>
      </top>
      <bottom/>
      <diagonal/>
    </border>
    <border>
      <left style="medium">
        <color indexed="64"/>
      </left>
      <right/>
      <top/>
      <bottom/>
      <diagonal/>
    </border>
    <border>
      <left/>
      <right/>
      <top/>
      <bottom style="medium">
        <color auto="1"/>
      </bottom>
      <diagonal/>
    </border>
    <border>
      <left style="medium">
        <color indexed="64"/>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style="thin">
        <color indexed="64"/>
      </right>
      <top/>
      <bottom style="medium">
        <color auto="1"/>
      </bottom>
      <diagonal/>
    </border>
    <border>
      <left style="thin">
        <color indexed="64"/>
      </left>
      <right style="thin">
        <color indexed="64"/>
      </right>
      <top style="medium">
        <color auto="1"/>
      </top>
      <bottom/>
      <diagonal/>
    </border>
    <border>
      <left/>
      <right style="thin">
        <color auto="1"/>
      </right>
      <top style="medium">
        <color auto="1"/>
      </top>
      <bottom/>
      <diagonal/>
    </border>
    <border>
      <left style="thick">
        <color indexed="39"/>
      </left>
      <right/>
      <top style="thick">
        <color indexed="39"/>
      </top>
      <bottom/>
      <diagonal/>
    </border>
    <border>
      <left/>
      <right/>
      <top style="thick">
        <color indexed="39"/>
      </top>
      <bottom/>
      <diagonal/>
    </border>
    <border>
      <left/>
      <right style="thick">
        <color indexed="39"/>
      </right>
      <top style="thick">
        <color indexed="39"/>
      </top>
      <bottom/>
      <diagonal/>
    </border>
    <border>
      <left style="thick">
        <color indexed="39"/>
      </left>
      <right/>
      <top/>
      <bottom/>
      <diagonal/>
    </border>
    <border>
      <left/>
      <right style="thick">
        <color indexed="39"/>
      </right>
      <top/>
      <bottom/>
      <diagonal/>
    </border>
    <border>
      <left style="thick">
        <color indexed="39"/>
      </left>
      <right/>
      <top/>
      <bottom style="thick">
        <color indexed="39"/>
      </bottom>
      <diagonal/>
    </border>
    <border>
      <left/>
      <right/>
      <top/>
      <bottom style="thick">
        <color indexed="39"/>
      </bottom>
      <diagonal/>
    </border>
    <border>
      <left/>
      <right style="thick">
        <color indexed="39"/>
      </right>
      <top/>
      <bottom style="thick">
        <color indexed="39"/>
      </bottom>
      <diagonal/>
    </border>
    <border>
      <left style="thin">
        <color indexed="64"/>
      </left>
      <right/>
      <top/>
      <bottom style="medium">
        <color indexed="64"/>
      </bottom>
      <diagonal/>
    </border>
  </borders>
  <cellStyleXfs count="21">
    <xf numFmtId="0" fontId="0" fillId="0" borderId="0"/>
    <xf numFmtId="0" fontId="15" fillId="0" borderId="0" applyNumberFormat="0" applyFill="0" applyBorder="0" applyAlignment="0" applyProtection="0">
      <alignment vertical="top"/>
      <protection locked="0"/>
    </xf>
    <xf numFmtId="0" fontId="3" fillId="0" borderId="0"/>
    <xf numFmtId="0" fontId="3" fillId="2" borderId="0">
      <alignment horizontal="center"/>
    </xf>
    <xf numFmtId="0" fontId="3" fillId="2" borderId="0">
      <alignment horizontal="center"/>
    </xf>
    <xf numFmtId="0" fontId="3" fillId="5" borderId="1">
      <alignment horizontal="center" vertical="center"/>
      <protection locked="0"/>
    </xf>
    <xf numFmtId="0" fontId="3" fillId="9" borderId="1">
      <alignment horizontal="center" vertical="center"/>
      <protection locked="0"/>
    </xf>
    <xf numFmtId="0" fontId="3" fillId="0" borderId="13"/>
    <xf numFmtId="0" fontId="3" fillId="9" borderId="1">
      <alignment horizontal="center" vertical="center"/>
      <protection locked="0"/>
    </xf>
    <xf numFmtId="0" fontId="3" fillId="9" borderId="1">
      <alignment horizontal="center" vertical="center"/>
      <protection locked="0"/>
    </xf>
    <xf numFmtId="0" fontId="3" fillId="9" borderId="1">
      <alignment horizontal="center" vertical="center"/>
      <protection locked="0"/>
    </xf>
    <xf numFmtId="0" fontId="2" fillId="0" borderId="0"/>
    <xf numFmtId="0" fontId="1" fillId="0" borderId="0"/>
    <xf numFmtId="0" fontId="1" fillId="0" borderId="0"/>
    <xf numFmtId="0" fontId="1" fillId="0" borderId="0"/>
    <xf numFmtId="0" fontId="44" fillId="0" borderId="0"/>
    <xf numFmtId="0" fontId="44" fillId="0" borderId="0"/>
    <xf numFmtId="0" fontId="45" fillId="0" borderId="0"/>
    <xf numFmtId="0" fontId="45" fillId="0" borderId="0"/>
    <xf numFmtId="0" fontId="45" fillId="0" borderId="0"/>
    <xf numFmtId="0" fontId="1" fillId="0" borderId="0"/>
  </cellStyleXfs>
  <cellXfs count="362">
    <xf numFmtId="0" fontId="0" fillId="0" borderId="0" xfId="0"/>
    <xf numFmtId="0" fontId="0" fillId="0" borderId="0" xfId="0" applyAlignment="1">
      <alignment horizontal="center"/>
    </xf>
    <xf numFmtId="0" fontId="0" fillId="0" borderId="0" xfId="0" applyAlignment="1">
      <alignment horizontal="right"/>
    </xf>
    <xf numFmtId="2" fontId="0" fillId="0" borderId="0" xfId="0" applyNumberFormat="1"/>
    <xf numFmtId="0" fontId="0" fillId="0" borderId="1" xfId="0" applyBorder="1" applyAlignment="1">
      <alignment horizontal="center"/>
    </xf>
    <xf numFmtId="164" fontId="0" fillId="0" borderId="0" xfId="0" applyNumberFormat="1" applyAlignment="1">
      <alignment horizontal="center"/>
    </xf>
    <xf numFmtId="10" fontId="0" fillId="0" borderId="0" xfId="0" applyNumberFormat="1"/>
    <xf numFmtId="0" fontId="0" fillId="0" borderId="2" xfId="0" applyBorder="1" applyAlignment="1">
      <alignment horizontal="center"/>
    </xf>
    <xf numFmtId="0" fontId="0" fillId="0" borderId="3" xfId="0" applyBorder="1"/>
    <xf numFmtId="0" fontId="0" fillId="0" borderId="4" xfId="0" applyBorder="1"/>
    <xf numFmtId="0" fontId="0" fillId="0" borderId="5" xfId="0" applyBorder="1" applyAlignment="1">
      <alignment horizontal="right"/>
    </xf>
    <xf numFmtId="0" fontId="0" fillId="0" borderId="6" xfId="0" applyBorder="1"/>
    <xf numFmtId="0" fontId="0" fillId="0" borderId="7" xfId="0" applyBorder="1" applyAlignment="1">
      <alignment horizontal="right"/>
    </xf>
    <xf numFmtId="0" fontId="0" fillId="0" borderId="8" xfId="0" applyBorder="1"/>
    <xf numFmtId="0" fontId="0" fillId="0" borderId="9" xfId="0" applyBorder="1"/>
    <xf numFmtId="0" fontId="0" fillId="0" borderId="10" xfId="0" applyBorder="1" applyAlignment="1">
      <alignment horizontal="right"/>
    </xf>
    <xf numFmtId="2" fontId="0" fillId="0" borderId="0" xfId="0" applyNumberFormat="1" applyAlignment="1">
      <alignment horizontal="center"/>
    </xf>
    <xf numFmtId="0" fontId="0" fillId="2" borderId="0" xfId="0" applyFill="1"/>
    <xf numFmtId="0" fontId="0" fillId="2" borderId="0" xfId="0" applyFill="1" applyAlignment="1">
      <alignment horizontal="center"/>
    </xf>
    <xf numFmtId="0" fontId="0" fillId="2" borderId="1" xfId="0" applyFill="1" applyBorder="1" applyAlignment="1">
      <alignment horizontal="center"/>
    </xf>
    <xf numFmtId="0" fontId="0" fillId="2" borderId="0" xfId="0" applyFill="1" applyAlignment="1">
      <alignment horizontal="right"/>
    </xf>
    <xf numFmtId="0" fontId="4" fillId="0" borderId="0" xfId="0" applyFont="1"/>
    <xf numFmtId="2" fontId="0" fillId="0" borderId="1" xfId="0" applyNumberFormat="1" applyBorder="1" applyAlignment="1">
      <alignment horizontal="center"/>
    </xf>
    <xf numFmtId="0" fontId="0" fillId="0" borderId="11" xfId="0" applyBorder="1" applyAlignment="1">
      <alignment horizontal="center"/>
    </xf>
    <xf numFmtId="0" fontId="0" fillId="0" borderId="14" xfId="0" applyBorder="1" applyAlignment="1">
      <alignment horizontal="center"/>
    </xf>
    <xf numFmtId="0" fontId="3" fillId="0" borderId="0" xfId="0" applyFont="1"/>
    <xf numFmtId="0" fontId="3" fillId="0" borderId="0" xfId="0" applyFont="1" applyAlignment="1">
      <alignment horizontal="right"/>
    </xf>
    <xf numFmtId="0" fontId="3" fillId="2" borderId="0" xfId="0" applyFont="1" applyFill="1" applyAlignment="1">
      <alignment horizontal="left"/>
    </xf>
    <xf numFmtId="0" fontId="0" fillId="3" borderId="0" xfId="0" applyFill="1"/>
    <xf numFmtId="0" fontId="3" fillId="2" borderId="0" xfId="0" applyFont="1" applyFill="1" applyAlignment="1">
      <alignment horizontal="right"/>
    </xf>
    <xf numFmtId="0" fontId="16" fillId="2" borderId="0" xfId="1" applyFont="1" applyFill="1" applyAlignment="1" applyProtection="1"/>
    <xf numFmtId="0" fontId="17" fillId="3" borderId="0" xfId="0" applyFont="1" applyFill="1"/>
    <xf numFmtId="0" fontId="20" fillId="3" borderId="0" xfId="0" applyFont="1" applyFill="1"/>
    <xf numFmtId="0" fontId="19" fillId="3" borderId="24" xfId="0" applyFont="1" applyFill="1" applyBorder="1" applyAlignment="1">
      <alignment horizontal="center" vertical="center"/>
    </xf>
    <xf numFmtId="0" fontId="21" fillId="2" borderId="0" xfId="0" applyFont="1" applyFill="1"/>
    <xf numFmtId="0" fontId="24" fillId="2" borderId="0" xfId="0" applyFont="1" applyFill="1"/>
    <xf numFmtId="0" fontId="0" fillId="2" borderId="1" xfId="0" applyFill="1" applyBorder="1" applyAlignment="1">
      <alignment horizontal="center" vertical="center"/>
    </xf>
    <xf numFmtId="0" fontId="0" fillId="2" borderId="11" xfId="0" applyFill="1" applyBorder="1" applyAlignment="1">
      <alignment horizontal="center" vertical="center"/>
    </xf>
    <xf numFmtId="165" fontId="0" fillId="2" borderId="11" xfId="0" applyNumberFormat="1" applyFill="1" applyBorder="1" applyAlignment="1">
      <alignment horizontal="center" vertical="center"/>
    </xf>
    <xf numFmtId="2" fontId="0" fillId="2" borderId="11" xfId="0" applyNumberFormat="1" applyFill="1" applyBorder="1" applyAlignment="1">
      <alignment horizontal="center" vertical="center"/>
    </xf>
    <xf numFmtId="1" fontId="0" fillId="2" borderId="11" xfId="0" applyNumberFormat="1" applyFill="1" applyBorder="1" applyAlignment="1">
      <alignment horizontal="center" vertical="center"/>
    </xf>
    <xf numFmtId="2" fontId="0" fillId="2" borderId="15" xfId="0" applyNumberFormat="1" applyFill="1" applyBorder="1" applyAlignment="1">
      <alignment horizontal="center" vertical="center"/>
    </xf>
    <xf numFmtId="2" fontId="0" fillId="2" borderId="16" xfId="0" applyNumberFormat="1" applyFill="1" applyBorder="1" applyAlignment="1">
      <alignment horizontal="center" vertical="center"/>
    </xf>
    <xf numFmtId="2" fontId="0" fillId="2" borderId="17" xfId="0" applyNumberFormat="1" applyFill="1" applyBorder="1" applyAlignment="1">
      <alignment horizontal="center" vertical="center"/>
    </xf>
    <xf numFmtId="2" fontId="0" fillId="2" borderId="18" xfId="0" applyNumberFormat="1" applyFill="1" applyBorder="1" applyAlignment="1">
      <alignment horizontal="center" vertical="center"/>
    </xf>
    <xf numFmtId="2" fontId="0" fillId="2" borderId="1" xfId="0" applyNumberFormat="1" applyFill="1" applyBorder="1" applyAlignment="1">
      <alignment horizontal="center" vertical="center"/>
    </xf>
    <xf numFmtId="2" fontId="0" fillId="2" borderId="19" xfId="0" applyNumberFormat="1" applyFill="1" applyBorder="1" applyAlignment="1">
      <alignment horizontal="center" vertical="center"/>
    </xf>
    <xf numFmtId="2" fontId="0" fillId="2" borderId="20" xfId="0" applyNumberFormat="1" applyFill="1" applyBorder="1" applyAlignment="1">
      <alignment horizontal="center" vertical="center"/>
    </xf>
    <xf numFmtId="2" fontId="0" fillId="2" borderId="21" xfId="0" applyNumberFormat="1" applyFill="1" applyBorder="1" applyAlignment="1">
      <alignment horizontal="center" vertical="center"/>
    </xf>
    <xf numFmtId="2" fontId="0" fillId="2" borderId="22" xfId="0" applyNumberFormat="1" applyFill="1" applyBorder="1" applyAlignment="1">
      <alignment horizontal="center" vertical="center"/>
    </xf>
    <xf numFmtId="2" fontId="0" fillId="2" borderId="12" xfId="0" applyNumberFormat="1" applyFill="1" applyBorder="1" applyAlignment="1">
      <alignment horizontal="center" vertical="center"/>
    </xf>
    <xf numFmtId="2" fontId="0" fillId="0" borderId="1" xfId="0" applyNumberFormat="1" applyBorder="1" applyAlignment="1">
      <alignment horizontal="center" vertical="center"/>
    </xf>
    <xf numFmtId="1" fontId="0" fillId="2" borderId="1" xfId="0" applyNumberFormat="1" applyFill="1" applyBorder="1" applyAlignment="1">
      <alignment horizontal="center" vertical="center"/>
    </xf>
    <xf numFmtId="165" fontId="0" fillId="2" borderId="1" xfId="0" applyNumberFormat="1" applyFill="1" applyBorder="1" applyAlignment="1">
      <alignment horizontal="center" vertical="center"/>
    </xf>
    <xf numFmtId="0" fontId="0" fillId="2" borderId="0" xfId="0" applyFill="1" applyAlignment="1">
      <alignment horizontal="right" vertical="center"/>
    </xf>
    <xf numFmtId="0" fontId="3" fillId="2" borderId="0" xfId="0" applyFont="1" applyFill="1" applyAlignment="1">
      <alignment horizontal="right" vertical="center"/>
    </xf>
    <xf numFmtId="0" fontId="0" fillId="0" borderId="1" xfId="0" applyBorder="1" applyAlignment="1" applyProtection="1">
      <alignment horizontal="center" vertical="center"/>
      <protection locked="0"/>
    </xf>
    <xf numFmtId="0" fontId="3" fillId="0" borderId="0" xfId="2" applyAlignment="1">
      <alignment horizontal="center"/>
    </xf>
    <xf numFmtId="0" fontId="3" fillId="0" borderId="0" xfId="2"/>
    <xf numFmtId="164" fontId="3" fillId="0" borderId="0" xfId="2" applyNumberFormat="1" applyAlignment="1">
      <alignment horizontal="center"/>
    </xf>
    <xf numFmtId="166" fontId="3" fillId="0" borderId="0" xfId="2" applyNumberFormat="1" applyAlignment="1">
      <alignment horizontal="center"/>
    </xf>
    <xf numFmtId="2" fontId="3" fillId="0" borderId="25" xfId="2" applyNumberFormat="1" applyBorder="1" applyAlignment="1">
      <alignment horizontal="center"/>
    </xf>
    <xf numFmtId="0" fontId="3" fillId="0" borderId="1" xfId="2" applyBorder="1"/>
    <xf numFmtId="0" fontId="0" fillId="0" borderId="0" xfId="0" applyAlignment="1" applyProtection="1">
      <alignment horizontal="center" vertical="center"/>
      <protection locked="0"/>
    </xf>
    <xf numFmtId="2" fontId="3" fillId="0" borderId="0" xfId="2" applyNumberFormat="1" applyAlignment="1">
      <alignment horizontal="center"/>
    </xf>
    <xf numFmtId="0" fontId="3" fillId="0" borderId="0" xfId="0" applyFont="1" applyAlignment="1">
      <alignment horizontal="center"/>
    </xf>
    <xf numFmtId="0" fontId="0" fillId="0" borderId="1" xfId="0" applyBorder="1"/>
    <xf numFmtId="0" fontId="3" fillId="0" borderId="1" xfId="0" applyFont="1" applyBorder="1"/>
    <xf numFmtId="2" fontId="0" fillId="0" borderId="1" xfId="0" applyNumberFormat="1" applyBorder="1"/>
    <xf numFmtId="0" fontId="27" fillId="0" borderId="0" xfId="0" applyFont="1"/>
    <xf numFmtId="0" fontId="28" fillId="0" borderId="0" xfId="0" applyFont="1" applyAlignment="1">
      <alignment horizontal="center"/>
    </xf>
    <xf numFmtId="2" fontId="3" fillId="0" borderId="0" xfId="0" applyNumberFormat="1" applyFont="1" applyAlignment="1">
      <alignment horizontal="left"/>
    </xf>
    <xf numFmtId="0" fontId="0" fillId="2" borderId="24" xfId="0" applyFill="1" applyBorder="1"/>
    <xf numFmtId="0" fontId="3" fillId="2" borderId="24" xfId="0" applyFont="1" applyFill="1" applyBorder="1" applyAlignment="1">
      <alignment horizontal="right" vertical="center"/>
    </xf>
    <xf numFmtId="0" fontId="21" fillId="2" borderId="25" xfId="0" applyFont="1" applyFill="1" applyBorder="1"/>
    <xf numFmtId="0" fontId="0" fillId="2" borderId="25" xfId="0" applyFill="1" applyBorder="1"/>
    <xf numFmtId="0" fontId="0" fillId="2" borderId="27" xfId="0" applyFill="1" applyBorder="1"/>
    <xf numFmtId="0" fontId="0" fillId="2" borderId="26" xfId="0" applyFill="1" applyBorder="1"/>
    <xf numFmtId="0" fontId="4" fillId="2" borderId="25" xfId="0" applyFont="1" applyFill="1" applyBorder="1"/>
    <xf numFmtId="0" fontId="0" fillId="0" borderId="25" xfId="0" applyBorder="1"/>
    <xf numFmtId="0" fontId="0" fillId="0" borderId="0" xfId="0" applyAlignment="1">
      <alignment horizontal="left"/>
    </xf>
    <xf numFmtId="2"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0" fillId="2" borderId="16" xfId="0" applyFill="1" applyBorder="1" applyAlignment="1">
      <alignment horizontal="center" vertical="center"/>
    </xf>
    <xf numFmtId="0" fontId="0" fillId="2" borderId="24" xfId="0" applyFill="1" applyBorder="1" applyAlignment="1">
      <alignment horizontal="right" vertical="center"/>
    </xf>
    <xf numFmtId="0" fontId="0" fillId="2" borderId="29" xfId="0" applyFill="1" applyBorder="1"/>
    <xf numFmtId="0" fontId="4" fillId="2" borderId="0" xfId="0" applyFont="1" applyFill="1" applyAlignment="1">
      <alignment horizontal="right"/>
    </xf>
    <xf numFmtId="0" fontId="4" fillId="2" borderId="0" xfId="0" applyFont="1" applyFill="1" applyAlignment="1">
      <alignment horizontal="center"/>
    </xf>
    <xf numFmtId="0" fontId="9" fillId="2" borderId="0" xfId="0" applyFont="1" applyFill="1"/>
    <xf numFmtId="0" fontId="0" fillId="2" borderId="30" xfId="0" applyFill="1" applyBorder="1"/>
    <xf numFmtId="0" fontId="3" fillId="2" borderId="29" xfId="0" applyFont="1" applyFill="1" applyBorder="1"/>
    <xf numFmtId="0" fontId="22" fillId="2" borderId="0" xfId="0" applyFont="1" applyFill="1" applyAlignment="1">
      <alignment horizontal="right" vertical="center"/>
    </xf>
    <xf numFmtId="0" fontId="0" fillId="2" borderId="14" xfId="0" applyFill="1" applyBorder="1" applyAlignment="1">
      <alignment horizontal="center" vertical="center"/>
    </xf>
    <xf numFmtId="0" fontId="0" fillId="2" borderId="7" xfId="0" applyFill="1" applyBorder="1" applyAlignment="1">
      <alignment horizontal="right" vertical="center"/>
    </xf>
    <xf numFmtId="0" fontId="3" fillId="2" borderId="13" xfId="0" applyFont="1" applyFill="1" applyBorder="1" applyAlignment="1">
      <alignment horizontal="right" vertical="center"/>
    </xf>
    <xf numFmtId="0" fontId="3" fillId="2" borderId="7" xfId="0" applyFont="1" applyFill="1" applyBorder="1" applyAlignment="1">
      <alignment horizontal="right" vertical="center"/>
    </xf>
    <xf numFmtId="0" fontId="0" fillId="5" borderId="0" xfId="0" applyFill="1"/>
    <xf numFmtId="0" fontId="3" fillId="5" borderId="0" xfId="0" applyFont="1" applyFill="1" applyAlignment="1">
      <alignment horizontal="right" vertical="center"/>
    </xf>
    <xf numFmtId="0" fontId="0" fillId="6" borderId="0" xfId="0" applyFill="1"/>
    <xf numFmtId="0" fontId="3" fillId="6" borderId="0" xfId="0" applyFont="1" applyFill="1" applyAlignment="1">
      <alignment horizontal="right" vertical="center"/>
    </xf>
    <xf numFmtId="0" fontId="17" fillId="0" borderId="0" xfId="0" applyFont="1"/>
    <xf numFmtId="0" fontId="0" fillId="2" borderId="28" xfId="0" applyFill="1" applyBorder="1"/>
    <xf numFmtId="0" fontId="3" fillId="2" borderId="0" xfId="0" applyFont="1" applyFill="1"/>
    <xf numFmtId="0" fontId="22" fillId="2" borderId="24" xfId="0" applyFont="1" applyFill="1" applyBorder="1" applyAlignment="1">
      <alignment horizontal="right" vertical="center"/>
    </xf>
    <xf numFmtId="14" fontId="3" fillId="2" borderId="0" xfId="0" applyNumberFormat="1" applyFont="1" applyFill="1" applyAlignment="1">
      <alignment horizontal="center"/>
    </xf>
    <xf numFmtId="0" fontId="3" fillId="2" borderId="26" xfId="0" applyFont="1" applyFill="1" applyBorder="1" applyAlignment="1">
      <alignment horizontal="left"/>
    </xf>
    <xf numFmtId="0" fontId="3" fillId="2" borderId="0" xfId="0" applyFont="1" applyFill="1" applyAlignment="1">
      <alignment horizontal="center"/>
    </xf>
    <xf numFmtId="0" fontId="4" fillId="2" borderId="0" xfId="0" applyFont="1" applyFill="1"/>
    <xf numFmtId="0" fontId="4" fillId="2" borderId="29" xfId="0" applyFont="1" applyFill="1" applyBorder="1" applyAlignment="1">
      <alignment horizontal="left"/>
    </xf>
    <xf numFmtId="164" fontId="3" fillId="2" borderId="0" xfId="0" applyNumberFormat="1" applyFont="1" applyFill="1" applyAlignment="1">
      <alignment horizontal="right"/>
    </xf>
    <xf numFmtId="1" fontId="0" fillId="2" borderId="1" xfId="0" applyNumberFormat="1" applyFill="1" applyBorder="1" applyAlignment="1">
      <alignment horizontal="center"/>
    </xf>
    <xf numFmtId="164" fontId="0" fillId="2" borderId="1" xfId="0" applyNumberFormat="1" applyFill="1" applyBorder="1" applyAlignment="1">
      <alignment horizontal="center"/>
    </xf>
    <xf numFmtId="0" fontId="29" fillId="0" borderId="0" xfId="0" applyFont="1"/>
    <xf numFmtId="165" fontId="0" fillId="2" borderId="1" xfId="0" applyNumberFormat="1" applyFill="1" applyBorder="1" applyAlignment="1">
      <alignment horizontal="center"/>
    </xf>
    <xf numFmtId="0" fontId="0" fillId="7" borderId="24" xfId="0" applyFill="1" applyBorder="1"/>
    <xf numFmtId="2" fontId="0" fillId="2" borderId="1" xfId="0" applyNumberFormat="1" applyFill="1" applyBorder="1" applyAlignment="1">
      <alignment horizontal="center"/>
    </xf>
    <xf numFmtId="164" fontId="0" fillId="2" borderId="11" xfId="0" applyNumberFormat="1" applyFill="1" applyBorder="1" applyAlignment="1">
      <alignment horizontal="center"/>
    </xf>
    <xf numFmtId="1" fontId="3" fillId="2" borderId="0" xfId="0" applyNumberFormat="1" applyFont="1" applyFill="1" applyAlignment="1">
      <alignment horizontal="center" vertical="center"/>
    </xf>
    <xf numFmtId="2" fontId="0" fillId="3" borderId="1" xfId="0" applyNumberFormat="1" applyFill="1" applyBorder="1" applyAlignment="1">
      <alignment horizontal="center" vertical="center"/>
    </xf>
    <xf numFmtId="0" fontId="0" fillId="8" borderId="0" xfId="0" applyFill="1"/>
    <xf numFmtId="0" fontId="3" fillId="8" borderId="0" xfId="0" applyFont="1" applyFill="1" applyAlignment="1">
      <alignment horizontal="right" vertical="center"/>
    </xf>
    <xf numFmtId="0" fontId="24" fillId="7" borderId="23" xfId="0" applyFont="1" applyFill="1" applyBorder="1"/>
    <xf numFmtId="0" fontId="0" fillId="3" borderId="29" xfId="0" applyFill="1" applyBorder="1"/>
    <xf numFmtId="0" fontId="3" fillId="0" borderId="1" xfId="0" applyFont="1" applyBorder="1" applyAlignment="1">
      <alignment horizontal="center"/>
    </xf>
    <xf numFmtId="0" fontId="3" fillId="0" borderId="0" xfId="0" applyFont="1" applyAlignment="1">
      <alignment horizontal="left"/>
    </xf>
    <xf numFmtId="11" fontId="0" fillId="0" borderId="0" xfId="0" applyNumberFormat="1" applyAlignment="1">
      <alignment horizontal="center"/>
    </xf>
    <xf numFmtId="167" fontId="0" fillId="0" borderId="0" xfId="0" applyNumberFormat="1"/>
    <xf numFmtId="1" fontId="0" fillId="0" borderId="0" xfId="0" applyNumberFormat="1"/>
    <xf numFmtId="2" fontId="3" fillId="0" borderId="0" xfId="2" applyNumberFormat="1"/>
    <xf numFmtId="0" fontId="26" fillId="0" borderId="0" xfId="2" applyFont="1"/>
    <xf numFmtId="0" fontId="26" fillId="0" borderId="0" xfId="2" applyFont="1" applyAlignment="1">
      <alignment horizontal="center"/>
    </xf>
    <xf numFmtId="10" fontId="3" fillId="0" borderId="0" xfId="2" applyNumberFormat="1"/>
    <xf numFmtId="0" fontId="3" fillId="0" borderId="6" xfId="0" applyFont="1" applyBorder="1" applyAlignment="1">
      <alignment horizontal="center"/>
    </xf>
    <xf numFmtId="0" fontId="27" fillId="0" borderId="0" xfId="2" applyFont="1"/>
    <xf numFmtId="165" fontId="0" fillId="0" borderId="1" xfId="0" applyNumberFormat="1" applyBorder="1" applyAlignment="1">
      <alignment horizontal="center" vertical="center"/>
    </xf>
    <xf numFmtId="0" fontId="27" fillId="0" borderId="0" xfId="0" applyFont="1" applyAlignment="1">
      <alignment horizontal="center"/>
    </xf>
    <xf numFmtId="0" fontId="3" fillId="3" borderId="0" xfId="0" applyFont="1" applyFill="1" applyAlignment="1">
      <alignment horizontal="right" vertical="center"/>
    </xf>
    <xf numFmtId="0" fontId="3" fillId="3" borderId="0" xfId="0" applyFont="1" applyFill="1" applyAlignment="1">
      <alignment horizontal="right"/>
    </xf>
    <xf numFmtId="0" fontId="3" fillId="0" borderId="13" xfId="0" applyFont="1" applyBorder="1" applyAlignment="1">
      <alignment horizontal="center"/>
    </xf>
    <xf numFmtId="0" fontId="3" fillId="2" borderId="32" xfId="0" applyFont="1" applyFill="1" applyBorder="1" applyAlignment="1">
      <alignment horizontal="center" vertical="center"/>
    </xf>
    <xf numFmtId="0" fontId="3" fillId="2" borderId="13" xfId="0" applyFont="1" applyFill="1" applyBorder="1" applyAlignment="1">
      <alignment horizontal="center" vertical="center"/>
    </xf>
    <xf numFmtId="0" fontId="0" fillId="2" borderId="13" xfId="0" applyFill="1" applyBorder="1" applyAlignment="1">
      <alignment horizontal="center" vertical="center"/>
    </xf>
    <xf numFmtId="0" fontId="11" fillId="2" borderId="13" xfId="0" applyFont="1" applyFill="1" applyBorder="1" applyAlignment="1">
      <alignment horizontal="center" vertical="center"/>
    </xf>
    <xf numFmtId="0" fontId="0" fillId="2" borderId="32" xfId="0" applyFill="1" applyBorder="1" applyAlignment="1">
      <alignment horizontal="center" vertical="center"/>
    </xf>
    <xf numFmtId="0" fontId="8" fillId="2" borderId="13" xfId="0" applyFont="1" applyFill="1" applyBorder="1" applyAlignment="1">
      <alignment horizontal="center" vertical="center"/>
    </xf>
    <xf numFmtId="0" fontId="0" fillId="2" borderId="33" xfId="0" applyFill="1" applyBorder="1" applyAlignment="1">
      <alignment horizontal="center" vertical="center"/>
    </xf>
    <xf numFmtId="0" fontId="3" fillId="2" borderId="7" xfId="0" applyFont="1" applyFill="1" applyBorder="1" applyAlignment="1">
      <alignment horizontal="center" vertical="center"/>
    </xf>
    <xf numFmtId="0" fontId="8" fillId="2" borderId="7" xfId="0" applyFont="1" applyFill="1" applyBorder="1" applyAlignment="1">
      <alignment horizontal="center" vertical="center"/>
    </xf>
    <xf numFmtId="0" fontId="0" fillId="2" borderId="7" xfId="0" applyFill="1" applyBorder="1" applyAlignment="1">
      <alignment horizontal="center"/>
    </xf>
    <xf numFmtId="0" fontId="3" fillId="2" borderId="0" xfId="0" applyFont="1" applyFill="1" applyAlignment="1">
      <alignment horizontal="center" vertical="center"/>
    </xf>
    <xf numFmtId="0" fontId="0" fillId="2" borderId="26" xfId="0" applyFill="1" applyBorder="1" applyAlignment="1">
      <alignment horizontal="center"/>
    </xf>
    <xf numFmtId="0" fontId="0" fillId="3" borderId="0" xfId="0" applyFill="1" applyAlignment="1">
      <alignment horizontal="center"/>
    </xf>
    <xf numFmtId="0" fontId="27" fillId="0" borderId="0" xfId="0" applyFont="1" applyAlignment="1">
      <alignment horizontal="left"/>
    </xf>
    <xf numFmtId="0" fontId="0" fillId="9" borderId="16" xfId="0" applyFill="1" applyBorder="1" applyAlignment="1" applyProtection="1">
      <alignment horizontal="center" vertical="center"/>
      <protection locked="0"/>
    </xf>
    <xf numFmtId="0" fontId="0" fillId="9" borderId="1" xfId="0"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0" fontId="0" fillId="6" borderId="1" xfId="0" applyFill="1" applyBorder="1" applyAlignment="1" applyProtection="1">
      <alignment horizontal="center" vertical="center"/>
      <protection locked="0"/>
    </xf>
    <xf numFmtId="0" fontId="0" fillId="6" borderId="16" xfId="0" applyFill="1" applyBorder="1" applyAlignment="1" applyProtection="1">
      <alignment horizontal="center" vertical="center"/>
      <protection locked="0"/>
    </xf>
    <xf numFmtId="0" fontId="0" fillId="6" borderId="1" xfId="0" applyFill="1" applyBorder="1" applyAlignment="1" applyProtection="1">
      <alignment horizontal="center"/>
      <protection locked="0"/>
    </xf>
    <xf numFmtId="0" fontId="0" fillId="6" borderId="1" xfId="0" applyFill="1" applyBorder="1" applyAlignment="1">
      <alignment horizontal="center"/>
    </xf>
    <xf numFmtId="165" fontId="3" fillId="0" borderId="0" xfId="2" applyNumberFormat="1" applyAlignment="1">
      <alignment horizontal="center"/>
    </xf>
    <xf numFmtId="165" fontId="3" fillId="0" borderId="0" xfId="2" applyNumberFormat="1"/>
    <xf numFmtId="0" fontId="27" fillId="10" borderId="0" xfId="0" applyFont="1" applyFill="1"/>
    <xf numFmtId="2" fontId="27" fillId="0" borderId="0" xfId="0" applyNumberFormat="1" applyFont="1" applyAlignment="1">
      <alignment horizontal="center"/>
    </xf>
    <xf numFmtId="0" fontId="29" fillId="4" borderId="1" xfId="0" applyFont="1" applyFill="1" applyBorder="1" applyAlignment="1">
      <alignment horizontal="center"/>
    </xf>
    <xf numFmtId="0" fontId="0" fillId="5" borderId="1" xfId="0" applyFill="1" applyBorder="1" applyAlignment="1">
      <alignment horizontal="center"/>
    </xf>
    <xf numFmtId="0" fontId="4" fillId="0" borderId="0" xfId="0" applyFont="1" applyAlignment="1">
      <alignment horizontal="center"/>
    </xf>
    <xf numFmtId="0" fontId="26" fillId="0" borderId="0" xfId="0" applyFont="1" applyAlignment="1">
      <alignment horizontal="center"/>
    </xf>
    <xf numFmtId="2" fontId="3" fillId="0" borderId="0" xfId="0" applyNumberFormat="1" applyFont="1"/>
    <xf numFmtId="0" fontId="0" fillId="11" borderId="34" xfId="0" applyFill="1" applyBorder="1"/>
    <xf numFmtId="0" fontId="0" fillId="11" borderId="35" xfId="0" applyFill="1" applyBorder="1"/>
    <xf numFmtId="0" fontId="0" fillId="11" borderId="36" xfId="0" applyFill="1" applyBorder="1"/>
    <xf numFmtId="0" fontId="0" fillId="11" borderId="37" xfId="0" applyFill="1" applyBorder="1"/>
    <xf numFmtId="0" fontId="0" fillId="11" borderId="0" xfId="0" applyFill="1"/>
    <xf numFmtId="0" fontId="0" fillId="11" borderId="38" xfId="0" applyFill="1" applyBorder="1"/>
    <xf numFmtId="0" fontId="32" fillId="11" borderId="0" xfId="0" applyFont="1" applyFill="1"/>
    <xf numFmtId="0" fontId="33" fillId="11" borderId="0" xfId="0" applyFont="1" applyFill="1"/>
    <xf numFmtId="0" fontId="34" fillId="11" borderId="0" xfId="0" applyFont="1" applyFill="1"/>
    <xf numFmtId="0" fontId="35" fillId="11" borderId="0" xfId="0" applyFont="1" applyFill="1"/>
    <xf numFmtId="0" fontId="36" fillId="11" borderId="0" xfId="0" applyFont="1" applyFill="1"/>
    <xf numFmtId="0" fontId="36" fillId="11" borderId="0" xfId="0" applyFont="1" applyFill="1" applyAlignment="1">
      <alignment wrapText="1"/>
    </xf>
    <xf numFmtId="0" fontId="0" fillId="11" borderId="39" xfId="0" applyFill="1" applyBorder="1"/>
    <xf numFmtId="0" fontId="0" fillId="11" borderId="40" xfId="0" applyFill="1" applyBorder="1"/>
    <xf numFmtId="0" fontId="0" fillId="11" borderId="41" xfId="0" applyFill="1" applyBorder="1"/>
    <xf numFmtId="0" fontId="3" fillId="11" borderId="0" xfId="0" applyFont="1" applyFill="1"/>
    <xf numFmtId="0" fontId="0" fillId="2" borderId="25" xfId="0" applyFill="1" applyBorder="1" applyAlignment="1">
      <alignment horizontal="right"/>
    </xf>
    <xf numFmtId="0" fontId="0" fillId="3" borderId="33" xfId="0" applyFill="1" applyBorder="1" applyAlignment="1">
      <alignment horizontal="center" vertical="center"/>
    </xf>
    <xf numFmtId="0" fontId="3" fillId="3" borderId="24" xfId="0" applyFont="1" applyFill="1" applyBorder="1" applyAlignment="1">
      <alignment horizontal="right" vertical="center"/>
    </xf>
    <xf numFmtId="0" fontId="3" fillId="3" borderId="16" xfId="0" applyFont="1" applyFill="1" applyBorder="1" applyAlignment="1">
      <alignment horizontal="center" vertical="center"/>
    </xf>
    <xf numFmtId="164" fontId="0" fillId="2" borderId="0" xfId="0" applyNumberFormat="1" applyFill="1" applyAlignment="1">
      <alignment horizontal="center"/>
    </xf>
    <xf numFmtId="0" fontId="3" fillId="2" borderId="0" xfId="2" applyFill="1" applyAlignment="1">
      <alignment horizontal="right" vertical="center"/>
    </xf>
    <xf numFmtId="1" fontId="3" fillId="2" borderId="1" xfId="2" applyNumberFormat="1" applyFill="1" applyBorder="1" applyAlignment="1">
      <alignment horizontal="center" vertical="center"/>
    </xf>
    <xf numFmtId="0" fontId="8" fillId="2" borderId="32" xfId="0" applyFont="1" applyFill="1" applyBorder="1" applyAlignment="1">
      <alignment horizontal="center" vertical="center"/>
    </xf>
    <xf numFmtId="2" fontId="0" fillId="6" borderId="1" xfId="0" applyNumberFormat="1" applyFill="1" applyBorder="1" applyAlignment="1" applyProtection="1">
      <alignment horizontal="center" vertical="center"/>
      <protection locked="0"/>
    </xf>
    <xf numFmtId="0" fontId="3" fillId="2" borderId="0" xfId="2" applyFill="1"/>
    <xf numFmtId="0" fontId="3" fillId="2" borderId="26" xfId="2" applyFill="1" applyBorder="1"/>
    <xf numFmtId="0" fontId="3" fillId="2" borderId="26" xfId="2" applyFill="1" applyBorder="1" applyAlignment="1">
      <alignment horizontal="center" vertical="center"/>
    </xf>
    <xf numFmtId="0" fontId="3" fillId="2" borderId="0" xfId="2" applyFill="1" applyAlignment="1">
      <alignment horizontal="center" vertical="center"/>
    </xf>
    <xf numFmtId="0" fontId="40" fillId="2" borderId="0" xfId="1" applyFont="1" applyFill="1" applyBorder="1" applyAlignment="1" applyProtection="1">
      <alignment horizontal="left" wrapText="1"/>
    </xf>
    <xf numFmtId="0" fontId="3" fillId="2" borderId="26" xfId="2" applyFill="1" applyBorder="1" applyAlignment="1">
      <alignment vertical="top" wrapText="1"/>
    </xf>
    <xf numFmtId="0" fontId="15" fillId="2" borderId="0" xfId="1" applyFill="1" applyBorder="1" applyAlignment="1" applyProtection="1"/>
    <xf numFmtId="0" fontId="0" fillId="9" borderId="11" xfId="0" applyFill="1" applyBorder="1" applyAlignment="1" applyProtection="1">
      <alignment horizontal="center" vertical="center"/>
      <protection locked="0"/>
    </xf>
    <xf numFmtId="0" fontId="15" fillId="3" borderId="25" xfId="1" applyFill="1" applyBorder="1" applyAlignment="1" applyProtection="1">
      <alignment vertical="top" wrapText="1"/>
    </xf>
    <xf numFmtId="0" fontId="38" fillId="2" borderId="25" xfId="0" applyFont="1" applyFill="1" applyBorder="1" applyAlignment="1">
      <alignment vertical="top" wrapText="1"/>
    </xf>
    <xf numFmtId="0" fontId="15" fillId="3" borderId="25" xfId="1" applyFill="1" applyBorder="1" applyAlignment="1" applyProtection="1"/>
    <xf numFmtId="0" fontId="15" fillId="3" borderId="25" xfId="1" applyFill="1" applyBorder="1" applyAlignment="1" applyProtection="1">
      <alignment horizontal="left" wrapText="1"/>
    </xf>
    <xf numFmtId="0" fontId="0" fillId="6" borderId="11" xfId="0" applyFill="1" applyBorder="1" applyAlignment="1" applyProtection="1">
      <alignment horizontal="center" vertical="center"/>
      <protection locked="0"/>
    </xf>
    <xf numFmtId="0" fontId="0" fillId="3" borderId="7" xfId="0" applyFill="1" applyBorder="1" applyAlignment="1">
      <alignment horizontal="center"/>
    </xf>
    <xf numFmtId="0" fontId="0" fillId="3" borderId="1" xfId="0" applyFill="1" applyBorder="1"/>
    <xf numFmtId="0" fontId="3" fillId="6" borderId="11" xfId="0" applyFont="1" applyFill="1" applyBorder="1" applyAlignment="1">
      <alignment horizontal="center" vertical="center"/>
    </xf>
    <xf numFmtId="0" fontId="3" fillId="2" borderId="7" xfId="0" applyFont="1" applyFill="1" applyBorder="1" applyAlignment="1">
      <alignment horizontal="right"/>
    </xf>
    <xf numFmtId="0" fontId="0" fillId="2" borderId="6" xfId="0" applyFill="1" applyBorder="1"/>
    <xf numFmtId="0" fontId="43" fillId="0" borderId="0" xfId="0" applyFont="1"/>
    <xf numFmtId="0" fontId="0" fillId="3" borderId="31" xfId="0" applyFill="1" applyBorder="1" applyAlignment="1">
      <alignment horizontal="center"/>
    </xf>
    <xf numFmtId="0" fontId="0" fillId="6" borderId="12" xfId="0" applyFill="1" applyBorder="1" applyAlignment="1" applyProtection="1">
      <alignment horizontal="center" vertical="center"/>
      <protection locked="0"/>
    </xf>
    <xf numFmtId="2" fontId="0" fillId="3" borderId="11" xfId="0" applyNumberFormat="1" applyFill="1" applyBorder="1" applyAlignment="1">
      <alignment horizontal="center" vertical="center"/>
    </xf>
    <xf numFmtId="0" fontId="3" fillId="2" borderId="24" xfId="2" applyFill="1" applyBorder="1" applyAlignment="1">
      <alignment horizontal="right" vertical="center"/>
    </xf>
    <xf numFmtId="0" fontId="0" fillId="3" borderId="0" xfId="0" applyFill="1" applyAlignment="1">
      <alignment horizontal="right" vertical="center"/>
    </xf>
    <xf numFmtId="0" fontId="3" fillId="0" borderId="0" xfId="0" applyFont="1" applyAlignment="1">
      <alignment horizontal="right" vertical="center"/>
    </xf>
    <xf numFmtId="0" fontId="3" fillId="3" borderId="26" xfId="0" applyFont="1" applyFill="1" applyBorder="1" applyAlignment="1">
      <alignment horizontal="right" vertical="center"/>
    </xf>
    <xf numFmtId="0" fontId="0" fillId="3" borderId="4" xfId="0" applyFill="1" applyBorder="1"/>
    <xf numFmtId="0" fontId="0" fillId="3" borderId="9" xfId="0" applyFill="1" applyBorder="1"/>
    <xf numFmtId="0" fontId="3" fillId="3" borderId="13" xfId="0" applyFont="1" applyFill="1" applyBorder="1" applyAlignment="1">
      <alignment horizontal="center" vertical="center"/>
    </xf>
    <xf numFmtId="0" fontId="0" fillId="3" borderId="7" xfId="0" applyFill="1" applyBorder="1"/>
    <xf numFmtId="164" fontId="0" fillId="6" borderId="11" xfId="0" applyNumberFormat="1" applyFill="1" applyBorder="1" applyAlignment="1" applyProtection="1">
      <alignment horizontal="center" vertical="center"/>
      <protection locked="0"/>
    </xf>
    <xf numFmtId="0" fontId="3" fillId="12" borderId="16" xfId="2" applyFill="1" applyBorder="1" applyAlignment="1">
      <alignment horizontal="center"/>
    </xf>
    <xf numFmtId="0" fontId="3" fillId="12" borderId="16" xfId="2" applyFill="1" applyBorder="1" applyAlignment="1" applyProtection="1">
      <alignment horizontal="center" vertical="center"/>
      <protection locked="0"/>
    </xf>
    <xf numFmtId="0" fontId="0" fillId="3" borderId="33" xfId="0" applyFill="1" applyBorder="1" applyAlignment="1">
      <alignment horizontal="center"/>
    </xf>
    <xf numFmtId="0" fontId="46" fillId="0" borderId="0" xfId="1" applyFont="1" applyAlignment="1" applyProtection="1"/>
    <xf numFmtId="0" fontId="38" fillId="0" borderId="0" xfId="0" applyFont="1" applyAlignment="1">
      <alignment vertical="top" wrapText="1"/>
    </xf>
    <xf numFmtId="0" fontId="38" fillId="0" borderId="0" xfId="0" applyFont="1" applyAlignment="1">
      <alignment vertical="top"/>
    </xf>
    <xf numFmtId="0" fontId="38" fillId="0" borderId="0" xfId="0" applyFont="1" applyAlignment="1">
      <alignment horizontal="left" vertical="top"/>
    </xf>
    <xf numFmtId="0" fontId="15" fillId="0" borderId="0" xfId="1" applyAlignment="1" applyProtection="1">
      <alignment horizontal="right"/>
    </xf>
    <xf numFmtId="0" fontId="3" fillId="2" borderId="1" xfId="0" applyFont="1" applyFill="1" applyBorder="1" applyAlignment="1">
      <alignment horizontal="center"/>
    </xf>
    <xf numFmtId="0" fontId="46" fillId="0" borderId="0" xfId="1" applyFont="1" applyAlignment="1" applyProtection="1">
      <alignment horizontal="right"/>
    </xf>
    <xf numFmtId="0" fontId="15" fillId="3" borderId="1" xfId="1" applyFill="1" applyBorder="1" applyAlignment="1" applyProtection="1">
      <alignment horizontal="center"/>
    </xf>
    <xf numFmtId="2" fontId="0" fillId="3" borderId="1" xfId="0" applyNumberFormat="1" applyFill="1" applyBorder="1" applyAlignment="1">
      <alignment horizontal="center"/>
    </xf>
    <xf numFmtId="0" fontId="0" fillId="0" borderId="12" xfId="0" applyBorder="1" applyAlignment="1">
      <alignment horizontal="center" vertical="center"/>
    </xf>
    <xf numFmtId="0" fontId="0" fillId="6" borderId="21" xfId="0" applyFill="1" applyBorder="1" applyAlignment="1">
      <alignment horizontal="center"/>
    </xf>
    <xf numFmtId="0" fontId="47" fillId="0" borderId="0" xfId="0" applyFont="1"/>
    <xf numFmtId="0" fontId="3" fillId="0" borderId="0" xfId="0" applyFont="1" applyAlignment="1">
      <alignment horizontal="left" vertical="center"/>
    </xf>
    <xf numFmtId="0" fontId="4" fillId="0" borderId="0" xfId="0" applyFont="1" applyAlignment="1" applyProtection="1">
      <alignment horizontal="left"/>
      <protection locked="0"/>
    </xf>
    <xf numFmtId="0" fontId="4" fillId="0" borderId="15" xfId="0" applyFont="1" applyBorder="1" applyAlignment="1">
      <alignment horizont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9" xfId="0" applyFont="1" applyBorder="1" applyAlignment="1">
      <alignment horizontal="center"/>
    </xf>
    <xf numFmtId="0" fontId="0" fillId="0" borderId="18" xfId="0" applyBorder="1" applyAlignment="1" applyProtection="1">
      <alignment horizontal="center"/>
      <protection locked="0"/>
    </xf>
    <xf numFmtId="0" fontId="0" fillId="0" borderId="19" xfId="0" applyBorder="1" applyAlignment="1" applyProtection="1">
      <alignment horizontal="center"/>
      <protection locked="0"/>
    </xf>
    <xf numFmtId="0" fontId="0" fillId="0" borderId="20" xfId="0" applyBorder="1" applyAlignment="1" applyProtection="1">
      <alignment horizontal="center"/>
      <protection locked="0"/>
    </xf>
    <xf numFmtId="0" fontId="0" fillId="0" borderId="22" xfId="0" applyBorder="1" applyAlignment="1" applyProtection="1">
      <alignment horizontal="center"/>
      <protection locked="0"/>
    </xf>
    <xf numFmtId="2" fontId="0" fillId="0" borderId="0" xfId="0" applyNumberFormat="1" applyAlignment="1" applyProtection="1">
      <alignment horizontal="center" vertical="center"/>
      <protection locked="0"/>
    </xf>
    <xf numFmtId="0" fontId="31" fillId="2" borderId="0" xfId="0" applyFont="1" applyFill="1" applyAlignment="1">
      <alignment horizontal="center" vertical="top" wrapText="1"/>
    </xf>
    <xf numFmtId="0" fontId="3" fillId="3" borderId="0" xfId="0" applyFont="1" applyFill="1"/>
    <xf numFmtId="0" fontId="26" fillId="3" borderId="0" xfId="0" applyFont="1" applyFill="1" applyAlignment="1">
      <alignment horizontal="left"/>
    </xf>
    <xf numFmtId="0" fontId="38" fillId="2" borderId="27" xfId="0" applyFont="1" applyFill="1" applyBorder="1" applyAlignment="1">
      <alignment vertical="top" wrapText="1"/>
    </xf>
    <xf numFmtId="0" fontId="0" fillId="3" borderId="24" xfId="0" applyFill="1" applyBorder="1" applyAlignment="1">
      <alignment horizontal="center"/>
    </xf>
    <xf numFmtId="0" fontId="0" fillId="3" borderId="26" xfId="0" applyFill="1" applyBorder="1" applyAlignment="1">
      <alignment horizontal="center"/>
    </xf>
    <xf numFmtId="0" fontId="0" fillId="2" borderId="42" xfId="0" applyFill="1" applyBorder="1"/>
    <xf numFmtId="0" fontId="0" fillId="3" borderId="24" xfId="0" applyFill="1" applyBorder="1" applyAlignment="1">
      <alignment horizontal="center" vertical="center"/>
    </xf>
    <xf numFmtId="0" fontId="11" fillId="2" borderId="6" xfId="0" applyFont="1" applyFill="1" applyBorder="1" applyAlignment="1">
      <alignment horizontal="center" vertical="center"/>
    </xf>
    <xf numFmtId="0" fontId="3" fillId="2" borderId="6" xfId="0" applyFont="1" applyFill="1" applyBorder="1" applyAlignment="1">
      <alignment horizontal="center" vertical="center"/>
    </xf>
    <xf numFmtId="0" fontId="8" fillId="2" borderId="0" xfId="0" applyFont="1" applyFill="1" applyAlignment="1">
      <alignment horizontal="center" vertical="center"/>
    </xf>
    <xf numFmtId="0" fontId="11" fillId="2" borderId="0" xfId="0" applyFont="1" applyFill="1" applyAlignment="1">
      <alignment horizontal="center" vertical="center"/>
    </xf>
    <xf numFmtId="0" fontId="17" fillId="4" borderId="0" xfId="0" applyFont="1" applyFill="1"/>
    <xf numFmtId="0" fontId="0" fillId="3" borderId="16" xfId="0" applyFill="1" applyBorder="1" applyAlignment="1">
      <alignment horizontal="center"/>
    </xf>
    <xf numFmtId="168" fontId="0" fillId="0" borderId="0" xfId="0" applyNumberFormat="1"/>
    <xf numFmtId="168" fontId="0" fillId="3" borderId="1" xfId="0" applyNumberFormat="1" applyFill="1" applyBorder="1" applyAlignment="1">
      <alignment horizontal="center"/>
    </xf>
    <xf numFmtId="168" fontId="0" fillId="3" borderId="21" xfId="0" applyNumberFormat="1" applyFill="1" applyBorder="1" applyAlignment="1">
      <alignment horizontal="center"/>
    </xf>
    <xf numFmtId="0" fontId="3" fillId="2" borderId="7" xfId="0" applyFont="1" applyFill="1" applyBorder="1" applyAlignment="1">
      <alignment horizontal="center"/>
    </xf>
    <xf numFmtId="0" fontId="0" fillId="2" borderId="31" xfId="0" applyFill="1" applyBorder="1" applyAlignment="1">
      <alignment horizontal="center"/>
    </xf>
    <xf numFmtId="0" fontId="15" fillId="3" borderId="25" xfId="1" applyFill="1" applyBorder="1" applyAlignment="1" applyProtection="1">
      <alignment vertical="top"/>
    </xf>
    <xf numFmtId="0" fontId="15" fillId="0" borderId="25" xfId="1" applyBorder="1" applyAlignment="1" applyProtection="1"/>
    <xf numFmtId="165" fontId="0" fillId="2" borderId="14" xfId="0" applyNumberFormat="1" applyFill="1" applyBorder="1" applyAlignment="1">
      <alignment horizontal="center"/>
    </xf>
    <xf numFmtId="0" fontId="3" fillId="2" borderId="14" xfId="0" applyFont="1" applyFill="1" applyBorder="1" applyAlignment="1">
      <alignment horizontal="center"/>
    </xf>
    <xf numFmtId="0" fontId="50" fillId="13" borderId="1" xfId="0" applyFont="1" applyFill="1" applyBorder="1" applyAlignment="1">
      <alignment horizontal="center"/>
    </xf>
    <xf numFmtId="0" fontId="40" fillId="2" borderId="0" xfId="1" applyFont="1" applyFill="1" applyBorder="1" applyAlignment="1" applyProtection="1">
      <alignment wrapText="1"/>
    </xf>
    <xf numFmtId="9" fontId="0" fillId="3" borderId="1" xfId="0" applyNumberFormat="1" applyFill="1" applyBorder="1" applyAlignment="1">
      <alignment horizontal="center" vertical="center"/>
    </xf>
    <xf numFmtId="0" fontId="0" fillId="3" borderId="13" xfId="0" applyFill="1" applyBorder="1" applyAlignment="1">
      <alignment horizontal="center" vertical="center"/>
    </xf>
    <xf numFmtId="0" fontId="3" fillId="3" borderId="0" xfId="0" applyFont="1" applyFill="1" applyAlignment="1">
      <alignment horizontal="center" vertical="center"/>
    </xf>
    <xf numFmtId="0" fontId="0" fillId="3" borderId="0" xfId="0" applyFill="1" applyAlignment="1">
      <alignment horizontal="center" vertical="center"/>
    </xf>
    <xf numFmtId="0" fontId="0" fillId="2" borderId="0" xfId="0" applyFill="1" applyAlignment="1">
      <alignment horizontal="center" vertical="center"/>
    </xf>
    <xf numFmtId="0" fontId="3" fillId="3" borderId="0" xfId="0" applyFont="1" applyFill="1" applyAlignment="1">
      <alignment horizontal="center"/>
    </xf>
    <xf numFmtId="0" fontId="0" fillId="3" borderId="28" xfId="0" applyFill="1" applyBorder="1"/>
    <xf numFmtId="0" fontId="0" fillId="3" borderId="30" xfId="0" applyFill="1" applyBorder="1"/>
    <xf numFmtId="0" fontId="0" fillId="2" borderId="24" xfId="0" applyFill="1" applyBorder="1" applyAlignment="1">
      <alignment horizontal="center" vertical="center"/>
    </xf>
    <xf numFmtId="0" fontId="9" fillId="2" borderId="0" xfId="0" applyFont="1" applyFill="1" applyAlignment="1">
      <alignment horizontal="left" vertical="center" wrapText="1"/>
    </xf>
    <xf numFmtId="0" fontId="0" fillId="3" borderId="26" xfId="0" applyFill="1" applyBorder="1"/>
    <xf numFmtId="0" fontId="8" fillId="2" borderId="24" xfId="0" applyFont="1" applyFill="1" applyBorder="1" applyAlignment="1">
      <alignment horizontal="center" vertical="center"/>
    </xf>
    <xf numFmtId="0" fontId="50" fillId="14" borderId="1" xfId="0" applyFont="1" applyFill="1" applyBorder="1" applyAlignment="1">
      <alignment horizontal="center"/>
    </xf>
    <xf numFmtId="0" fontId="3" fillId="2" borderId="11" xfId="0" applyFont="1" applyFill="1" applyBorder="1" applyAlignment="1">
      <alignment horizontal="center"/>
    </xf>
    <xf numFmtId="0" fontId="3" fillId="2" borderId="13" xfId="0" applyFont="1" applyFill="1" applyBorder="1" applyAlignment="1">
      <alignment horizontal="center"/>
    </xf>
    <xf numFmtId="0" fontId="4" fillId="3" borderId="0" xfId="0" applyFont="1" applyFill="1"/>
    <xf numFmtId="2" fontId="3" fillId="2" borderId="1" xfId="0" applyNumberFormat="1" applyFont="1" applyFill="1" applyBorder="1" applyAlignment="1">
      <alignment horizontal="center"/>
    </xf>
    <xf numFmtId="2" fontId="0" fillId="6" borderId="12" xfId="0" applyNumberFormat="1" applyFill="1" applyBorder="1" applyAlignment="1" applyProtection="1">
      <alignment horizontal="center" vertical="center"/>
      <protection locked="0"/>
    </xf>
    <xf numFmtId="2" fontId="3" fillId="6" borderId="12" xfId="0" applyNumberFormat="1" applyFont="1" applyFill="1" applyBorder="1" applyAlignment="1" applyProtection="1">
      <alignment horizontal="center" vertical="center"/>
      <protection locked="0"/>
    </xf>
    <xf numFmtId="0" fontId="3" fillId="11" borderId="0" xfId="2" applyFill="1"/>
    <xf numFmtId="0" fontId="37" fillId="11" borderId="0" xfId="2" applyFont="1" applyFill="1"/>
    <xf numFmtId="0" fontId="37" fillId="5" borderId="0" xfId="0" applyFont="1" applyFill="1"/>
    <xf numFmtId="0" fontId="37" fillId="5" borderId="0" xfId="2" applyFont="1" applyFill="1"/>
    <xf numFmtId="0" fontId="29" fillId="3" borderId="0" xfId="0" applyFont="1" applyFill="1" applyAlignment="1">
      <alignment horizontal="center"/>
    </xf>
    <xf numFmtId="0" fontId="50" fillId="15" borderId="1" xfId="0" applyFont="1" applyFill="1" applyBorder="1" applyAlignment="1">
      <alignment horizontal="center"/>
    </xf>
    <xf numFmtId="164" fontId="0" fillId="3" borderId="1" xfId="0" applyNumberFormat="1" applyFill="1" applyBorder="1" applyAlignment="1">
      <alignment horizontal="center" vertical="center"/>
    </xf>
    <xf numFmtId="0" fontId="15" fillId="11" borderId="0" xfId="1" applyFill="1" applyAlignment="1" applyProtection="1"/>
    <xf numFmtId="0" fontId="52" fillId="11" borderId="37" xfId="2" applyFont="1" applyFill="1" applyBorder="1"/>
    <xf numFmtId="0" fontId="3" fillId="11" borderId="38" xfId="2" applyFill="1" applyBorder="1"/>
    <xf numFmtId="0" fontId="53" fillId="11" borderId="37" xfId="2" applyFont="1" applyFill="1" applyBorder="1"/>
    <xf numFmtId="0" fontId="52" fillId="5" borderId="0" xfId="0" applyFont="1" applyFill="1"/>
    <xf numFmtId="0" fontId="53" fillId="5" borderId="0" xfId="0" applyFont="1" applyFill="1"/>
    <xf numFmtId="0" fontId="0" fillId="3" borderId="24" xfId="0" applyFill="1" applyBorder="1"/>
    <xf numFmtId="0" fontId="0" fillId="2" borderId="24" xfId="0" applyFill="1" applyBorder="1" applyAlignment="1">
      <alignment horizontal="center"/>
    </xf>
    <xf numFmtId="14" fontId="10" fillId="2" borderId="23" xfId="0" applyNumberFormat="1" applyFont="1" applyFill="1" applyBorder="1" applyAlignment="1">
      <alignment horizontal="left"/>
    </xf>
    <xf numFmtId="14" fontId="10" fillId="2" borderId="25" xfId="0" applyNumberFormat="1" applyFont="1" applyFill="1" applyBorder="1" applyAlignment="1">
      <alignment horizontal="left"/>
    </xf>
    <xf numFmtId="0" fontId="24" fillId="3" borderId="25" xfId="2" applyFont="1" applyFill="1" applyBorder="1"/>
    <xf numFmtId="0" fontId="3" fillId="2" borderId="25" xfId="2" applyFill="1" applyBorder="1"/>
    <xf numFmtId="0" fontId="3" fillId="2" borderId="27" xfId="2" applyFill="1" applyBorder="1"/>
    <xf numFmtId="0" fontId="0" fillId="12" borderId="24" xfId="0" applyFill="1" applyBorder="1"/>
    <xf numFmtId="0" fontId="3" fillId="12" borderId="24" xfId="0" applyFont="1" applyFill="1" applyBorder="1" applyAlignment="1">
      <alignment horizontal="right"/>
    </xf>
    <xf numFmtId="0" fontId="31" fillId="2" borderId="0" xfId="0" applyFont="1" applyFill="1" applyAlignment="1">
      <alignment vertical="top" wrapText="1"/>
    </xf>
    <xf numFmtId="0" fontId="4" fillId="6" borderId="0" xfId="0" applyFont="1" applyFill="1" applyAlignment="1">
      <alignment horizontal="center"/>
    </xf>
    <xf numFmtId="0" fontId="3" fillId="6" borderId="1" xfId="0" applyFont="1" applyFill="1" applyBorder="1" applyAlignment="1">
      <alignment horizontal="center"/>
    </xf>
    <xf numFmtId="0" fontId="9" fillId="2" borderId="0" xfId="0" applyFont="1" applyFill="1" applyAlignment="1">
      <alignment horizontal="left" vertical="center" wrapText="1"/>
    </xf>
    <xf numFmtId="0" fontId="9" fillId="2" borderId="7" xfId="0" applyFont="1" applyFill="1" applyBorder="1" applyAlignment="1">
      <alignment horizontal="left" vertical="center" wrapText="1"/>
    </xf>
    <xf numFmtId="0" fontId="3" fillId="2" borderId="6" xfId="0" applyFont="1" applyFill="1" applyBorder="1" applyAlignment="1">
      <alignment horizontal="left"/>
    </xf>
    <xf numFmtId="0" fontId="3" fillId="2" borderId="0" xfId="0" applyFont="1" applyFill="1" applyAlignment="1">
      <alignment horizontal="left"/>
    </xf>
    <xf numFmtId="0" fontId="0" fillId="2" borderId="6" xfId="0" applyFill="1" applyBorder="1" applyAlignment="1">
      <alignment horizontal="left"/>
    </xf>
    <xf numFmtId="0" fontId="0" fillId="2" borderId="0" xfId="0" applyFill="1" applyAlignment="1">
      <alignment horizontal="left"/>
    </xf>
    <xf numFmtId="0" fontId="31" fillId="2" borderId="0" xfId="0" applyFont="1" applyFill="1" applyAlignment="1">
      <alignment horizontal="center" vertical="top" wrapText="1"/>
    </xf>
    <xf numFmtId="0" fontId="31" fillId="2" borderId="26" xfId="0" applyFont="1" applyFill="1" applyBorder="1" applyAlignment="1">
      <alignment horizontal="center" vertical="top" wrapText="1"/>
    </xf>
    <xf numFmtId="0" fontId="3" fillId="2" borderId="0" xfId="0" applyFont="1" applyFill="1" applyAlignment="1">
      <alignment horizontal="left" wrapText="1"/>
    </xf>
    <xf numFmtId="0" fontId="4" fillId="3" borderId="9" xfId="0" applyFont="1" applyFill="1" applyBorder="1" applyAlignment="1">
      <alignment horizontal="center"/>
    </xf>
    <xf numFmtId="0" fontId="3" fillId="2" borderId="6"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6" xfId="0" applyFont="1" applyFill="1" applyBorder="1" applyAlignment="1">
      <alignment horizontal="left" wrapText="1"/>
    </xf>
    <xf numFmtId="0" fontId="0" fillId="2" borderId="0" xfId="0" applyFill="1" applyAlignment="1">
      <alignment horizontal="left" wrapText="1"/>
    </xf>
    <xf numFmtId="0" fontId="0" fillId="2" borderId="42" xfId="0" applyFill="1" applyBorder="1" applyAlignment="1">
      <alignment horizontal="left" wrapText="1"/>
    </xf>
    <xf numFmtId="0" fontId="0" fillId="2" borderId="26" xfId="0" applyFill="1" applyBorder="1" applyAlignment="1">
      <alignment horizontal="left" wrapText="1"/>
    </xf>
    <xf numFmtId="0" fontId="0" fillId="2" borderId="6" xfId="0" applyFill="1" applyBorder="1" applyAlignment="1">
      <alignment horizontal="left" wrapText="1"/>
    </xf>
    <xf numFmtId="0" fontId="31" fillId="2" borderId="25" xfId="0" applyFont="1" applyFill="1" applyBorder="1" applyAlignment="1">
      <alignment horizontal="center" vertical="top" wrapText="1"/>
    </xf>
    <xf numFmtId="0" fontId="38" fillId="2" borderId="25" xfId="0" applyFont="1" applyFill="1" applyBorder="1" applyAlignment="1">
      <alignment horizontal="left" vertical="top" wrapText="1"/>
    </xf>
    <xf numFmtId="0" fontId="14" fillId="3" borderId="0" xfId="0" applyFont="1" applyFill="1" applyAlignment="1">
      <alignment horizontal="center" vertical="center"/>
    </xf>
    <xf numFmtId="0" fontId="18" fillId="4" borderId="23" xfId="0" applyFont="1" applyFill="1" applyBorder="1" applyAlignment="1">
      <alignment horizontal="left" vertical="center"/>
    </xf>
    <xf numFmtId="0" fontId="18" fillId="4" borderId="24" xfId="0" applyFont="1" applyFill="1" applyBorder="1" applyAlignment="1">
      <alignment horizontal="left" vertical="center"/>
    </xf>
    <xf numFmtId="0" fontId="15" fillId="2" borderId="0" xfId="1" applyFill="1" applyBorder="1" applyAlignment="1" applyProtection="1">
      <alignment horizontal="left" wrapText="1"/>
    </xf>
    <xf numFmtId="0" fontId="54" fillId="16" borderId="25" xfId="0" applyFont="1" applyFill="1" applyBorder="1" applyAlignment="1">
      <alignment horizontal="center" vertical="center" wrapText="1"/>
    </xf>
    <xf numFmtId="0" fontId="39" fillId="0" borderId="23"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8" xfId="0" applyFont="1" applyBorder="1" applyAlignment="1">
      <alignment horizontal="center" vertical="center" wrapText="1"/>
    </xf>
    <xf numFmtId="0" fontId="39" fillId="0" borderId="25" xfId="0" applyFont="1" applyBorder="1" applyAlignment="1">
      <alignment horizontal="center" vertical="center" wrapText="1"/>
    </xf>
    <xf numFmtId="0" fontId="39" fillId="0" borderId="0" xfId="0" applyFont="1" applyAlignment="1">
      <alignment horizontal="center" vertical="center" wrapText="1"/>
    </xf>
    <xf numFmtId="0" fontId="39" fillId="0" borderId="29" xfId="0" applyFont="1" applyBorder="1" applyAlignment="1">
      <alignment horizontal="center" vertical="center" wrapText="1"/>
    </xf>
    <xf numFmtId="0" fontId="39" fillId="0" borderId="27" xfId="0" applyFont="1" applyBorder="1" applyAlignment="1">
      <alignment horizontal="center" vertical="center" wrapText="1"/>
    </xf>
    <xf numFmtId="0" fontId="39" fillId="0" borderId="26" xfId="0" applyFont="1" applyBorder="1" applyAlignment="1">
      <alignment horizontal="center" vertical="center" wrapText="1"/>
    </xf>
    <xf numFmtId="0" fontId="39" fillId="0" borderId="30" xfId="0" applyFont="1" applyBorder="1" applyAlignment="1">
      <alignment horizontal="center" vertical="center" wrapText="1"/>
    </xf>
    <xf numFmtId="0" fontId="15" fillId="5" borderId="0" xfId="1" applyFill="1" applyAlignment="1" applyProtection="1">
      <alignment horizontal="left"/>
    </xf>
    <xf numFmtId="0" fontId="0" fillId="0" borderId="0" xfId="0" applyAlignment="1">
      <alignment horizontal="center"/>
    </xf>
    <xf numFmtId="0" fontId="26" fillId="0" borderId="0" xfId="0" applyFont="1" applyAlignment="1">
      <alignment horizontal="center"/>
    </xf>
    <xf numFmtId="0" fontId="27" fillId="0" borderId="0" xfId="0" applyFont="1" applyAlignment="1">
      <alignment horizontal="center"/>
    </xf>
    <xf numFmtId="0" fontId="4" fillId="0" borderId="0" xfId="0" applyFont="1" applyAlignment="1">
      <alignment horizontal="center"/>
    </xf>
    <xf numFmtId="0" fontId="26" fillId="0" borderId="1" xfId="2" applyFont="1" applyBorder="1" applyAlignment="1">
      <alignment horizontal="center"/>
    </xf>
    <xf numFmtId="0" fontId="3" fillId="0" borderId="1" xfId="0" applyFont="1" applyBorder="1" applyAlignment="1">
      <alignment horizontal="center"/>
    </xf>
    <xf numFmtId="2" fontId="3" fillId="0" borderId="0" xfId="0" applyNumberFormat="1" applyFont="1" applyAlignment="1">
      <alignment horizontal="center"/>
    </xf>
    <xf numFmtId="2" fontId="0" fillId="0" borderId="0" xfId="0" applyNumberFormat="1" applyAlignment="1">
      <alignment horizontal="center"/>
    </xf>
  </cellXfs>
  <cellStyles count="21">
    <cellStyle name="ENTER VALUE" xfId="6" xr:uid="{00000000-0005-0000-0000-000000000000}"/>
    <cellStyle name="ENTER VALUE 2" xfId="10" xr:uid="{00000000-0005-0000-0000-000001000000}"/>
    <cellStyle name="ENTER VALUE 3" xfId="9" xr:uid="{00000000-0005-0000-0000-000002000000}"/>
    <cellStyle name="ENTER VALUE 4" xfId="8" xr:uid="{00000000-0005-0000-0000-000003000000}"/>
    <cellStyle name="Hyperlink" xfId="1" builtinId="8"/>
    <cellStyle name="Normal" xfId="0" builtinId="0"/>
    <cellStyle name="Normal 2" xfId="2" xr:uid="{00000000-0005-0000-0000-000006000000}"/>
    <cellStyle name="Normal 2 2" xfId="15" xr:uid="{C48C444A-E15A-42DD-9E48-67C2B6640A63}"/>
    <cellStyle name="Normal 3" xfId="11" xr:uid="{00000000-0005-0000-0000-000007000000}"/>
    <cellStyle name="Normal 3 2" xfId="13" xr:uid="{5FD91D21-FDF3-4E0E-83CA-34389D518FF5}"/>
    <cellStyle name="Normal 3 2 2" xfId="18" xr:uid="{3E99673D-B438-49E8-A1BD-A9BF9597C2D5}"/>
    <cellStyle name="Normal 3 2 3" xfId="17" xr:uid="{150FED64-545C-48DC-878E-F9DC08B10ECF}"/>
    <cellStyle name="Normal 3 3" xfId="16" xr:uid="{7B116418-4270-43F1-BA35-039155E0A2D5}"/>
    <cellStyle name="Normal 3 4" xfId="12" xr:uid="{EB324635-682B-4359-8D13-2F8B3E7601E5}"/>
    <cellStyle name="Normal 3_Xl0000380" xfId="19" xr:uid="{FCEE7FB1-102B-4285-89E4-2D48C68EF444}"/>
    <cellStyle name="Normal 4" xfId="20" xr:uid="{89C6EA44-0B87-473F-8941-3D8506EC1115}"/>
    <cellStyle name="Normal 5" xfId="14" xr:uid="{0ED5D7DB-D131-402E-80A9-7B84B804759A}"/>
    <cellStyle name="Style 1" xfId="3" xr:uid="{00000000-0005-0000-0000-000008000000}"/>
    <cellStyle name="Style 1 2" xfId="4" xr:uid="{00000000-0005-0000-0000-000009000000}"/>
    <cellStyle name="Style 2" xfId="5" xr:uid="{00000000-0005-0000-0000-00000A000000}"/>
    <cellStyle name="UNIT" xfId="7" xr:uid="{00000000-0005-0000-0000-00000B000000}"/>
  </cellStyles>
  <dxfs count="11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numFmt numFmtId="2" formatCode="0.00"/>
    </dxf>
    <dxf>
      <numFmt numFmtId="2" formatCode="0.00"/>
    </dxf>
    <dxf>
      <numFmt numFmtId="168" formatCode="[$$-409]#,##0.000"/>
    </dxf>
    <dxf>
      <font>
        <b val="0"/>
        <i val="0"/>
        <strike val="0"/>
        <condense val="0"/>
        <extend val="0"/>
        <outline val="0"/>
        <shadow val="0"/>
        <u val="none"/>
        <vertAlign val="baseline"/>
        <sz val="10"/>
        <color auto="1"/>
        <name val="Arial"/>
        <family val="2"/>
        <scheme val="none"/>
      </font>
    </dxf>
    <dxf>
      <numFmt numFmtId="2" formatCode="0.00"/>
    </dxf>
    <dxf>
      <numFmt numFmtId="2" formatCode="0.00"/>
    </dxf>
    <dxf>
      <numFmt numFmtId="168" formatCode="[$$-409]#,##0.000"/>
    </dxf>
    <dxf>
      <font>
        <b val="0"/>
        <i val="0"/>
        <strike val="0"/>
        <condense val="0"/>
        <extend val="0"/>
        <outline val="0"/>
        <shadow val="0"/>
        <u val="none"/>
        <vertAlign val="baseline"/>
        <sz val="10"/>
        <color auto="1"/>
        <name val="Arial"/>
        <family val="2"/>
        <scheme val="none"/>
      </font>
    </dxf>
    <dxf>
      <font>
        <color theme="0"/>
      </font>
      <fill>
        <patternFill>
          <bgColor theme="0"/>
        </patternFill>
      </fill>
    </dxf>
    <dxf>
      <font>
        <color theme="0"/>
      </font>
      <fill>
        <patternFill>
          <bgColor theme="0"/>
        </patternFill>
      </fill>
      <border>
        <left/>
        <right style="thin">
          <color auto="1"/>
        </right>
        <top/>
        <bottom/>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fill>
        <patternFill>
          <bgColor theme="0"/>
        </patternFill>
      </fill>
      <border>
        <left/>
        <right/>
        <top/>
        <bottom/>
      </border>
    </dxf>
    <dxf>
      <font>
        <color theme="0"/>
      </font>
      <fill>
        <patternFill>
          <bgColor theme="0"/>
        </patternFill>
      </fill>
    </dxf>
    <dxf>
      <font>
        <color theme="0"/>
      </font>
      <fill>
        <patternFill>
          <bgColor theme="0"/>
        </patternFill>
      </fill>
      <border>
        <left/>
        <right/>
        <top/>
        <bottom/>
      </border>
    </dxf>
    <dxf>
      <font>
        <color theme="0"/>
      </font>
      <fill>
        <patternFill>
          <bgColor theme="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ont>
        <color theme="0"/>
      </font>
      <fill>
        <patternFill>
          <bgColor theme="0"/>
        </patternFill>
      </fill>
    </dxf>
    <dxf>
      <font>
        <color theme="0"/>
      </font>
      <fill>
        <patternFill>
          <bgColor theme="0"/>
        </patternFill>
      </fill>
    </dxf>
    <dxf>
      <font>
        <strike val="0"/>
        <color theme="0"/>
      </font>
      <fill>
        <patternFill>
          <bgColor theme="0"/>
        </patternFill>
      </fill>
    </dxf>
    <dxf>
      <font>
        <color theme="0"/>
      </font>
      <fill>
        <patternFill>
          <bgColor theme="0"/>
        </patternFill>
      </fill>
    </dxf>
    <dxf>
      <font>
        <color theme="0"/>
      </font>
      <fill>
        <patternFill>
          <bgColor theme="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ont>
        <color theme="0"/>
      </font>
      <fill>
        <patternFill>
          <bgColor theme="0"/>
        </patternFill>
      </fill>
    </dxf>
    <dxf>
      <font>
        <color theme="0"/>
      </font>
      <fill>
        <patternFill patternType="solid">
          <bgColor theme="0"/>
        </patternFill>
      </fill>
      <border>
        <left/>
        <right/>
      </border>
    </dxf>
    <dxf>
      <fill>
        <patternFill>
          <bgColor rgb="FFFF0000"/>
        </patternFill>
      </fill>
    </dxf>
    <dxf>
      <fill>
        <patternFill>
          <bgColor rgb="FFFF0000"/>
        </patternFill>
      </fill>
    </dxf>
    <dxf>
      <fill>
        <patternFill>
          <bgColor rgb="FFFF0000"/>
        </patternFill>
      </fill>
    </dxf>
    <dxf>
      <font>
        <strike/>
        <color theme="0" tint="-0.24994659260841701"/>
      </font>
      <fill>
        <patternFill patternType="none">
          <bgColor auto="1"/>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5" tint="-0.24994659260841701"/>
        </patternFill>
      </fill>
    </dxf>
    <dxf>
      <fill>
        <patternFill>
          <bgColor rgb="FFFF0000"/>
        </patternFill>
      </fill>
    </dxf>
    <dxf>
      <font>
        <color theme="0"/>
      </font>
      <fill>
        <patternFill>
          <bgColor theme="0"/>
        </patternFill>
      </fill>
    </dxf>
    <dxf>
      <font>
        <color theme="0"/>
      </font>
    </dxf>
    <dxf>
      <fill>
        <patternFill>
          <bgColor rgb="FFFFFF00"/>
        </patternFill>
      </fill>
    </dxf>
    <dxf>
      <fill>
        <patternFill>
          <bgColor indexed="10"/>
        </patternFill>
      </fill>
    </dxf>
    <dxf>
      <font>
        <condense val="0"/>
        <extend val="0"/>
        <color indexed="9"/>
      </font>
      <fill>
        <patternFill>
          <bgColor indexed="9"/>
        </patternFill>
      </fill>
      <border>
        <left/>
        <right/>
        <top/>
        <bottom/>
      </border>
    </dxf>
    <dxf>
      <font>
        <condense val="0"/>
        <extend val="0"/>
        <color indexed="9"/>
      </font>
      <fill>
        <patternFill>
          <bgColor indexed="9"/>
        </patternFill>
      </fill>
      <border>
        <left/>
        <right/>
        <top style="thin">
          <color auto="1"/>
        </top>
        <bottom style="thin">
          <color auto="1"/>
        </bottom>
      </border>
    </dxf>
    <dxf>
      <font>
        <color theme="0"/>
      </font>
      <fill>
        <patternFill>
          <bgColor theme="0"/>
        </patternFill>
      </fill>
      <border>
        <left/>
        <right/>
        <top style="thin">
          <color auto="1"/>
        </top>
        <bottom style="thin">
          <color auto="1"/>
        </bottom>
      </border>
    </dxf>
    <dxf>
      <font>
        <color theme="0"/>
      </font>
      <fill>
        <patternFill>
          <bgColor theme="0"/>
        </patternFill>
      </fill>
      <border>
        <left/>
        <right/>
        <top/>
        <bottom/>
      </border>
    </dxf>
    <dxf>
      <fill>
        <patternFill>
          <bgColor indexed="10"/>
        </patternFill>
      </fill>
    </dxf>
  </dxfs>
  <tableStyles count="0" defaultTableStyle="TableStyleMedium9" defaultPivotStyle="PivotStyleLight16"/>
  <colors>
    <mruColors>
      <color rgb="FF0053FA"/>
      <color rgb="FFFF505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267237229923697"/>
          <c:y val="0.10613723813134238"/>
          <c:w val="0.83144069779259888"/>
          <c:h val="0.76916929287639557"/>
        </c:manualLayout>
      </c:layout>
      <c:scatterChart>
        <c:scatterStyle val="lineMarker"/>
        <c:varyColors val="0"/>
        <c:ser>
          <c:idx val="1"/>
          <c:order val="0"/>
          <c:tx>
            <c:v>Typ. Device SOA Limit</c:v>
          </c:tx>
          <c:spPr>
            <a:ln w="25400">
              <a:solidFill>
                <a:srgbClr val="FF0000"/>
              </a:solidFill>
              <a:prstDash val="solid"/>
            </a:ln>
          </c:spPr>
          <c:marker>
            <c:symbol val="none"/>
          </c:marker>
          <c:xVal>
            <c:numRef>
              <c:f>Equations!$R$197:$R$276</c:f>
              <c:numCache>
                <c:formatCode>General</c:formatCode>
                <c:ptCount val="8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numCache>
            </c:numRef>
          </c:xVal>
          <c:yVal>
            <c:numRef>
              <c:f>Equations!$T$197:$T$276</c:f>
              <c:numCache>
                <c:formatCode>0.00</c:formatCode>
                <c:ptCount val="80"/>
                <c:pt idx="0">
                  <c:v>22.681999999999999</c:v>
                </c:pt>
                <c:pt idx="1">
                  <c:v>22.681999999999999</c:v>
                </c:pt>
                <c:pt idx="2">
                  <c:v>21.582266666666666</c:v>
                </c:pt>
                <c:pt idx="3">
                  <c:v>16.2898</c:v>
                </c:pt>
                <c:pt idx="4">
                  <c:v>13.114319999999998</c:v>
                </c:pt>
                <c:pt idx="5">
                  <c:v>10.997333333333332</c:v>
                </c:pt>
                <c:pt idx="6">
                  <c:v>9.4852000000000007</c:v>
                </c:pt>
                <c:pt idx="7">
                  <c:v>8.3510999999999989</c:v>
                </c:pt>
                <c:pt idx="8">
                  <c:v>7.4690222222222218</c:v>
                </c:pt>
                <c:pt idx="9">
                  <c:v>6.7633599999999987</c:v>
                </c:pt>
                <c:pt idx="10">
                  <c:v>6.1859999999999991</c:v>
                </c:pt>
                <c:pt idx="11">
                  <c:v>5.7048666666666668</c:v>
                </c:pt>
                <c:pt idx="12">
                  <c:v>5.2977538461538449</c:v>
                </c:pt>
                <c:pt idx="13">
                  <c:v>4.9487999999999994</c:v>
                </c:pt>
                <c:pt idx="14">
                  <c:v>4.646373333333333</c:v>
                </c:pt>
                <c:pt idx="15">
                  <c:v>4.3817499999999994</c:v>
                </c:pt>
                <c:pt idx="16">
                  <c:v>4.1482588235294111</c:v>
                </c:pt>
                <c:pt idx="17">
                  <c:v>3.9407111111111104</c:v>
                </c:pt>
                <c:pt idx="18">
                  <c:v>3.7550105263157891</c:v>
                </c:pt>
                <c:pt idx="19">
                  <c:v>3.5878799999999997</c:v>
                </c:pt>
                <c:pt idx="20">
                  <c:v>3.4366666666666661</c:v>
                </c:pt>
                <c:pt idx="21">
                  <c:v>3.2991999999999995</c:v>
                </c:pt>
                <c:pt idx="22">
                  <c:v>5.0000000000000003E-10</c:v>
                </c:pt>
                <c:pt idx="23">
                  <c:v>5.0000000000000003E-10</c:v>
                </c:pt>
                <c:pt idx="24">
                  <c:v>5.0000000000000003E-10</c:v>
                </c:pt>
                <c:pt idx="25">
                  <c:v>5.0000000000000003E-10</c:v>
                </c:pt>
                <c:pt idx="26">
                  <c:v>5.0000000000000003E-10</c:v>
                </c:pt>
                <c:pt idx="27">
                  <c:v>5.0000000000000003E-10</c:v>
                </c:pt>
                <c:pt idx="28">
                  <c:v>5.0000000000000003E-10</c:v>
                </c:pt>
                <c:pt idx="29">
                  <c:v>5.0000000000000003E-10</c:v>
                </c:pt>
                <c:pt idx="30">
                  <c:v>5.0000000000000003E-10</c:v>
                </c:pt>
                <c:pt idx="31">
                  <c:v>5.0000000000000003E-10</c:v>
                </c:pt>
                <c:pt idx="32">
                  <c:v>5.0000000000000003E-10</c:v>
                </c:pt>
                <c:pt idx="33">
                  <c:v>5.0000000000000003E-10</c:v>
                </c:pt>
                <c:pt idx="34">
                  <c:v>5.0000000000000003E-10</c:v>
                </c:pt>
                <c:pt idx="35">
                  <c:v>5.0000000000000003E-10</c:v>
                </c:pt>
                <c:pt idx="36">
                  <c:v>5.0000000000000003E-10</c:v>
                </c:pt>
                <c:pt idx="37">
                  <c:v>5.0000000000000003E-10</c:v>
                </c:pt>
                <c:pt idx="38">
                  <c:v>5.0000000000000003E-10</c:v>
                </c:pt>
                <c:pt idx="39">
                  <c:v>5.0000000000000003E-10</c:v>
                </c:pt>
                <c:pt idx="40">
                  <c:v>5.0000000000000003E-10</c:v>
                </c:pt>
                <c:pt idx="41">
                  <c:v>5.0000000000000003E-10</c:v>
                </c:pt>
                <c:pt idx="42">
                  <c:v>5.0000000000000003E-10</c:v>
                </c:pt>
                <c:pt idx="43">
                  <c:v>5.0000000000000003E-10</c:v>
                </c:pt>
                <c:pt idx="44">
                  <c:v>5.0000000000000003E-10</c:v>
                </c:pt>
                <c:pt idx="45">
                  <c:v>5.0000000000000003E-10</c:v>
                </c:pt>
                <c:pt idx="46">
                  <c:v>5.0000000000000003E-10</c:v>
                </c:pt>
                <c:pt idx="47">
                  <c:v>5.0000000000000003E-10</c:v>
                </c:pt>
                <c:pt idx="48">
                  <c:v>5.0000000000000003E-10</c:v>
                </c:pt>
                <c:pt idx="49">
                  <c:v>5.0000000000000003E-10</c:v>
                </c:pt>
                <c:pt idx="50">
                  <c:v>5.0000000000000003E-10</c:v>
                </c:pt>
                <c:pt idx="51">
                  <c:v>5.0000000000000003E-10</c:v>
                </c:pt>
                <c:pt idx="52">
                  <c:v>5.0000000000000003E-10</c:v>
                </c:pt>
                <c:pt idx="53">
                  <c:v>5.0000000000000003E-10</c:v>
                </c:pt>
                <c:pt idx="54">
                  <c:v>5.0000000000000003E-10</c:v>
                </c:pt>
                <c:pt idx="55">
                  <c:v>5.0000000000000003E-10</c:v>
                </c:pt>
                <c:pt idx="56">
                  <c:v>5.0000000000000003E-10</c:v>
                </c:pt>
                <c:pt idx="57">
                  <c:v>5.0000000000000003E-10</c:v>
                </c:pt>
                <c:pt idx="58">
                  <c:v>5.0000000000000003E-10</c:v>
                </c:pt>
                <c:pt idx="59">
                  <c:v>5.0000000000000003E-10</c:v>
                </c:pt>
                <c:pt idx="60">
                  <c:v>5.0000000000000003E-10</c:v>
                </c:pt>
                <c:pt idx="61">
                  <c:v>5.0000000000000003E-10</c:v>
                </c:pt>
                <c:pt idx="62">
                  <c:v>5.0000000000000003E-10</c:v>
                </c:pt>
                <c:pt idx="63">
                  <c:v>5.0000000000000003E-10</c:v>
                </c:pt>
                <c:pt idx="64">
                  <c:v>5.0000000000000003E-10</c:v>
                </c:pt>
                <c:pt idx="65">
                  <c:v>5.0000000000000003E-10</c:v>
                </c:pt>
                <c:pt idx="66">
                  <c:v>5.0000000000000003E-10</c:v>
                </c:pt>
                <c:pt idx="67">
                  <c:v>5.0000000000000003E-10</c:v>
                </c:pt>
                <c:pt idx="68">
                  <c:v>5.0000000000000003E-10</c:v>
                </c:pt>
                <c:pt idx="69">
                  <c:v>5.0000000000000003E-10</c:v>
                </c:pt>
                <c:pt idx="70">
                  <c:v>5.0000000000000003E-10</c:v>
                </c:pt>
                <c:pt idx="71">
                  <c:v>5.0000000000000003E-10</c:v>
                </c:pt>
                <c:pt idx="72">
                  <c:v>5.0000000000000003E-10</c:v>
                </c:pt>
                <c:pt idx="73">
                  <c:v>5.0000000000000003E-10</c:v>
                </c:pt>
                <c:pt idx="74">
                  <c:v>5.0000000000000003E-10</c:v>
                </c:pt>
                <c:pt idx="75">
                  <c:v>5.0000000000000003E-10</c:v>
                </c:pt>
                <c:pt idx="76">
                  <c:v>5.0000000000000003E-10</c:v>
                </c:pt>
                <c:pt idx="77">
                  <c:v>5.0000000000000003E-10</c:v>
                </c:pt>
                <c:pt idx="78">
                  <c:v>5.0000000000000003E-10</c:v>
                </c:pt>
                <c:pt idx="79">
                  <c:v>5.0000000000000003E-10</c:v>
                </c:pt>
              </c:numCache>
            </c:numRef>
          </c:yVal>
          <c:smooth val="0"/>
          <c:extLst>
            <c:ext xmlns:c16="http://schemas.microsoft.com/office/drawing/2014/chart" uri="{C3380CC4-5D6E-409C-BE32-E72D297353CC}">
              <c16:uniqueId val="{00000001-50BD-4311-BE51-07BAA658C3F9}"/>
            </c:ext>
          </c:extLst>
        </c:ser>
        <c:ser>
          <c:idx val="3"/>
          <c:order val="1"/>
          <c:tx>
            <c:v>Temp. Derated FET1 SOA (t=Tfault)</c:v>
          </c:tx>
          <c:spPr>
            <a:ln w="25400">
              <a:solidFill>
                <a:srgbClr val="008000"/>
              </a:solidFill>
              <a:prstDash val="solid"/>
            </a:ln>
          </c:spPr>
          <c:marker>
            <c:symbol val="none"/>
          </c:marker>
          <c:xVal>
            <c:numRef>
              <c:f>SOA!$B$42:$B$47</c:f>
              <c:numCache>
                <c:formatCode>General</c:formatCode>
                <c:ptCount val="6"/>
                <c:pt idx="0">
                  <c:v>1</c:v>
                </c:pt>
                <c:pt idx="1">
                  <c:v>1.2</c:v>
                </c:pt>
                <c:pt idx="2">
                  <c:v>30</c:v>
                </c:pt>
                <c:pt idx="3">
                  <c:v>60</c:v>
                </c:pt>
                <c:pt idx="4">
                  <c:v>80</c:v>
                </c:pt>
                <c:pt idx="5">
                  <c:v>100</c:v>
                </c:pt>
              </c:numCache>
            </c:numRef>
          </c:xVal>
          <c:yVal>
            <c:numRef>
              <c:f>SOA!$C$42:$C$47</c:f>
              <c:numCache>
                <c:formatCode>General</c:formatCode>
                <c:ptCount val="6"/>
                <c:pt idx="0">
                  <c:v>806.91019689879795</c:v>
                </c:pt>
                <c:pt idx="1">
                  <c:v>672.42516408233166</c:v>
                </c:pt>
                <c:pt idx="2">
                  <c:v>26.897006563293264</c:v>
                </c:pt>
                <c:pt idx="3">
                  <c:v>13.448503281646632</c:v>
                </c:pt>
                <c:pt idx="4">
                  <c:v>10.086377461234974</c:v>
                </c:pt>
                <c:pt idx="5">
                  <c:v>8.0691019689879795</c:v>
                </c:pt>
              </c:numCache>
            </c:numRef>
          </c:yVal>
          <c:smooth val="0"/>
          <c:extLst>
            <c:ext xmlns:c16="http://schemas.microsoft.com/office/drawing/2014/chart" uri="{C3380CC4-5D6E-409C-BE32-E72D297353CC}">
              <c16:uniqueId val="{00000000-50BD-4311-BE51-07BAA658C3F9}"/>
            </c:ext>
          </c:extLst>
        </c:ser>
        <c:ser>
          <c:idx val="0"/>
          <c:order val="2"/>
          <c:tx>
            <c:v>Temp. Derated FET2 SOA (t=Tfault)</c:v>
          </c:tx>
          <c:marker>
            <c:symbol val="none"/>
          </c:marker>
          <c:xVal>
            <c:numRef>
              <c:f>SOA!$B$90:$B$95</c:f>
              <c:numCache>
                <c:formatCode>General</c:formatCode>
                <c:ptCount val="6"/>
                <c:pt idx="0">
                  <c:v>1</c:v>
                </c:pt>
                <c:pt idx="1">
                  <c:v>1.2</c:v>
                </c:pt>
                <c:pt idx="2">
                  <c:v>30</c:v>
                </c:pt>
                <c:pt idx="3">
                  <c:v>60</c:v>
                </c:pt>
                <c:pt idx="4">
                  <c:v>80</c:v>
                </c:pt>
                <c:pt idx="5">
                  <c:v>100</c:v>
                </c:pt>
              </c:numCache>
            </c:numRef>
          </c:xVal>
          <c:yVal>
            <c:numRef>
              <c:f>SOA!$C$90:$C$95</c:f>
              <c:numCache>
                <c:formatCode>General</c:formatCode>
                <c:ptCount val="6"/>
                <c:pt idx="0">
                  <c:v>686.88569239781339</c:v>
                </c:pt>
                <c:pt idx="1">
                  <c:v>572.40474366484455</c:v>
                </c:pt>
                <c:pt idx="2">
                  <c:v>22.89618974659378</c:v>
                </c:pt>
                <c:pt idx="3">
                  <c:v>11.44809487329689</c:v>
                </c:pt>
                <c:pt idx="4">
                  <c:v>8.586071154972668</c:v>
                </c:pt>
                <c:pt idx="5">
                  <c:v>6.8688569239781341</c:v>
                </c:pt>
              </c:numCache>
            </c:numRef>
          </c:yVal>
          <c:smooth val="0"/>
          <c:extLst>
            <c:ext xmlns:c16="http://schemas.microsoft.com/office/drawing/2014/chart" uri="{C3380CC4-5D6E-409C-BE32-E72D297353CC}">
              <c16:uniqueId val="{00000001-CA49-42A0-B5A6-203FC56588BC}"/>
            </c:ext>
          </c:extLst>
        </c:ser>
        <c:ser>
          <c:idx val="2"/>
          <c:order val="3"/>
          <c:tx>
            <c:v>Temp. Derated FET3 SOA (t=Tfault)</c:v>
          </c:tx>
          <c:marker>
            <c:symbol val="none"/>
          </c:marker>
          <c:xVal>
            <c:numRef>
              <c:f>SOA!$B$138:$B$143</c:f>
              <c:numCache>
                <c:formatCode>General</c:formatCode>
                <c:ptCount val="6"/>
                <c:pt idx="0">
                  <c:v>1</c:v>
                </c:pt>
                <c:pt idx="1">
                  <c:v>1.2</c:v>
                </c:pt>
                <c:pt idx="2">
                  <c:v>30</c:v>
                </c:pt>
                <c:pt idx="3">
                  <c:v>60</c:v>
                </c:pt>
                <c:pt idx="4">
                  <c:v>80</c:v>
                </c:pt>
                <c:pt idx="5">
                  <c:v>100</c:v>
                </c:pt>
              </c:numCache>
            </c:numRef>
          </c:xVal>
          <c:yVal>
            <c:numRef>
              <c:f>SOA!$C$138:$C$143</c:f>
              <c:numCache>
                <c:formatCode>General</c:formatCode>
                <c:ptCount val="6"/>
                <c:pt idx="0">
                  <c:v>559.53335636195925</c:v>
                </c:pt>
                <c:pt idx="1">
                  <c:v>466.27779696829941</c:v>
                </c:pt>
                <c:pt idx="2">
                  <c:v>18.651111878731975</c:v>
                </c:pt>
                <c:pt idx="3">
                  <c:v>9.3255559393659873</c:v>
                </c:pt>
                <c:pt idx="4">
                  <c:v>6.9941669545244904</c:v>
                </c:pt>
                <c:pt idx="5">
                  <c:v>5.5953335636195929</c:v>
                </c:pt>
              </c:numCache>
            </c:numRef>
          </c:yVal>
          <c:smooth val="0"/>
          <c:extLst>
            <c:ext xmlns:c16="http://schemas.microsoft.com/office/drawing/2014/chart" uri="{C3380CC4-5D6E-409C-BE32-E72D297353CC}">
              <c16:uniqueId val="{00000002-CA49-42A0-B5A6-203FC56588BC}"/>
            </c:ext>
          </c:extLst>
        </c:ser>
        <c:dLbls>
          <c:showLegendKey val="0"/>
          <c:showVal val="0"/>
          <c:showCatName val="0"/>
          <c:showSerName val="0"/>
          <c:showPercent val="0"/>
          <c:showBubbleSize val="0"/>
        </c:dLbls>
        <c:axId val="340050304"/>
        <c:axId val="340052224"/>
      </c:scatterChart>
      <c:valAx>
        <c:axId val="340050304"/>
        <c:scaling>
          <c:logBase val="10"/>
          <c:orientation val="minMax"/>
          <c:max val="100"/>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0" i="0" u="none" strike="noStrike" baseline="0">
                    <a:solidFill>
                      <a:srgbClr val="000000"/>
                    </a:solidFill>
                    <a:latin typeface="Calibri"/>
                    <a:ea typeface="Calibri"/>
                    <a:cs typeface="Calibri"/>
                  </a:defRPr>
                </a:pPr>
                <a:r>
                  <a:rPr lang="en-US" sz="900" b="1" i="0" u="none" strike="noStrike" baseline="0">
                    <a:solidFill>
                      <a:srgbClr val="000000"/>
                    </a:solidFill>
                    <a:latin typeface="Arial"/>
                    <a:cs typeface="Arial"/>
                  </a:rPr>
                  <a:t>V</a:t>
                </a:r>
                <a:r>
                  <a:rPr lang="en-US" sz="900" b="1" i="0" u="none" strike="noStrike" baseline="-25000">
                    <a:solidFill>
                      <a:srgbClr val="000000"/>
                    </a:solidFill>
                    <a:latin typeface="Arial"/>
                    <a:cs typeface="Arial"/>
                  </a:rPr>
                  <a:t>DS</a:t>
                </a:r>
                <a:r>
                  <a:rPr lang="en-US" sz="900" b="1" i="0" u="none" strike="noStrike" baseline="0">
                    <a:solidFill>
                      <a:srgbClr val="000000"/>
                    </a:solidFill>
                    <a:latin typeface="Arial"/>
                    <a:cs typeface="Arial"/>
                  </a:rPr>
                  <a:t> - Drain-to-Source Voltage - V</a:t>
                </a:r>
              </a:p>
            </c:rich>
          </c:tx>
          <c:layout>
            <c:manualLayout>
              <c:xMode val="edge"/>
              <c:yMode val="edge"/>
              <c:x val="0.37459064370200507"/>
              <c:y val="0.94029461520736024"/>
            </c:manualLayout>
          </c:layout>
          <c:overlay val="0"/>
          <c:spPr>
            <a:noFill/>
            <a:ln w="25400">
              <a:noFill/>
            </a:ln>
          </c:spPr>
        </c:title>
        <c:numFmt formatCode="General" sourceLinked="1"/>
        <c:majorTickMark val="none"/>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40052224"/>
        <c:crossesAt val="0.1"/>
        <c:crossBetween val="midCat"/>
      </c:valAx>
      <c:valAx>
        <c:axId val="340052224"/>
        <c:scaling>
          <c:logBase val="10"/>
          <c:orientation val="minMax"/>
          <c:max val="1000"/>
          <c:min val="1"/>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125" b="0" i="0" u="none" strike="noStrike" baseline="0">
                    <a:solidFill>
                      <a:srgbClr val="000000"/>
                    </a:solidFill>
                    <a:latin typeface="Calibri"/>
                    <a:ea typeface="Calibri"/>
                    <a:cs typeface="Calibri"/>
                  </a:defRPr>
                </a:pPr>
                <a:r>
                  <a:rPr lang="en-US" sz="900" b="1" i="0" u="none" strike="noStrike" baseline="0">
                    <a:solidFill>
                      <a:srgbClr val="000000"/>
                    </a:solidFill>
                    <a:latin typeface="Arial"/>
                    <a:cs typeface="Arial"/>
                  </a:rPr>
                  <a:t>I</a:t>
                </a:r>
                <a:r>
                  <a:rPr lang="en-US" sz="900" b="1" i="0" u="none" strike="noStrike" baseline="-25000">
                    <a:solidFill>
                      <a:srgbClr val="000000"/>
                    </a:solidFill>
                    <a:latin typeface="Arial"/>
                    <a:cs typeface="Arial"/>
                  </a:rPr>
                  <a:t>DS</a:t>
                </a:r>
                <a:r>
                  <a:rPr lang="en-US" sz="900" b="1" i="0" u="none" strike="noStrike" baseline="0">
                    <a:solidFill>
                      <a:srgbClr val="000000"/>
                    </a:solidFill>
                    <a:latin typeface="Arial"/>
                    <a:cs typeface="Arial"/>
                  </a:rPr>
                  <a:t> - Drain-to-Source Current - A</a:t>
                </a:r>
              </a:p>
            </c:rich>
          </c:tx>
          <c:layout>
            <c:manualLayout>
              <c:xMode val="edge"/>
              <c:yMode val="edge"/>
              <c:x val="2.0103885280763262E-2"/>
              <c:y val="0.21497860712616401"/>
            </c:manualLayout>
          </c:layout>
          <c:overlay val="0"/>
          <c:spPr>
            <a:noFill/>
            <a:ln w="25400">
              <a:noFill/>
            </a:ln>
          </c:spPr>
        </c:title>
        <c:numFmt formatCode="General" sourceLinked="0"/>
        <c:majorTickMark val="none"/>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40050304"/>
        <c:crosses val="autoZero"/>
        <c:crossBetween val="midCat"/>
      </c:valAx>
      <c:spPr>
        <a:solidFill>
          <a:srgbClr val="FFFFFF"/>
        </a:solidFill>
        <a:ln w="12700">
          <a:solidFill>
            <a:srgbClr val="808080"/>
          </a:solidFill>
          <a:prstDash val="solid"/>
        </a:ln>
      </c:spPr>
    </c:plotArea>
    <c:legend>
      <c:legendPos val="r"/>
      <c:layout>
        <c:manualLayout>
          <c:xMode val="edge"/>
          <c:yMode val="edge"/>
          <c:x val="0.63666240270692664"/>
          <c:y val="3.4245278507504119E-2"/>
          <c:w val="0.34315918152605057"/>
          <c:h val="0.46790644763601713"/>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233" r="0.7500000000000023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sz="1600"/>
              <a:t>I</a:t>
            </a:r>
            <a:r>
              <a:rPr lang="en-US" sz="1600" baseline="-25000"/>
              <a:t>LOAD</a:t>
            </a:r>
            <a:r>
              <a:rPr lang="en-US" sz="1600" baseline="0"/>
              <a:t> and I</a:t>
            </a:r>
            <a:r>
              <a:rPr lang="en-US" sz="1600" baseline="-25000"/>
              <a:t>FET</a:t>
            </a:r>
            <a:r>
              <a:rPr lang="en-US" sz="1600" baseline="0"/>
              <a:t> vs Vout </a:t>
            </a:r>
            <a:r>
              <a:rPr lang="en-US" sz="1600" b="1" i="0" baseline="0">
                <a:effectLst/>
              </a:rPr>
              <a:t>(V</a:t>
            </a:r>
            <a:r>
              <a:rPr lang="en-US" sz="1600" b="1" i="0" baseline="-25000">
                <a:effectLst/>
              </a:rPr>
              <a:t>IN</a:t>
            </a:r>
            <a:r>
              <a:rPr lang="en-US" sz="1600" b="1" i="0" baseline="0">
                <a:effectLst/>
              </a:rPr>
              <a:t> = V</a:t>
            </a:r>
            <a:r>
              <a:rPr lang="en-US" sz="1600" b="1" i="0" baseline="-25000">
                <a:effectLst/>
              </a:rPr>
              <a:t>INMAX</a:t>
            </a:r>
            <a:r>
              <a:rPr lang="en-US" sz="1600" b="1" i="0" baseline="0">
                <a:effectLst/>
              </a:rPr>
              <a:t>)</a:t>
            </a:r>
            <a:r>
              <a:rPr lang="en-US" sz="1600" baseline="0"/>
              <a:t>                                               </a:t>
            </a:r>
            <a:endParaRPr lang="en-US" sz="1600" baseline="-25000"/>
          </a:p>
        </c:rich>
      </c:tx>
      <c:layout>
        <c:manualLayout>
          <c:xMode val="edge"/>
          <c:yMode val="edge"/>
          <c:x val="0.16494063286351637"/>
          <c:y val="3.0591748387251084E-2"/>
        </c:manualLayout>
      </c:layout>
      <c:overlay val="1"/>
      <c:spPr>
        <a:solidFill>
          <a:schemeClr val="bg1"/>
        </a:solidFill>
      </c:spPr>
    </c:title>
    <c:autoTitleDeleted val="0"/>
    <c:plotArea>
      <c:layout>
        <c:manualLayout>
          <c:layoutTarget val="inner"/>
          <c:xMode val="edge"/>
          <c:yMode val="edge"/>
          <c:x val="0.15203109554174482"/>
          <c:y val="0.13835811263066838"/>
          <c:w val="0.76865751103613689"/>
          <c:h val="0.70165890209112658"/>
        </c:manualLayout>
      </c:layout>
      <c:scatterChart>
        <c:scatterStyle val="smoothMarker"/>
        <c:varyColors val="0"/>
        <c:ser>
          <c:idx val="0"/>
          <c:order val="0"/>
          <c:tx>
            <c:strRef>
              <c:f>Start_up!$C$7</c:f>
              <c:strCache>
                <c:ptCount val="1"/>
                <c:pt idx="0">
                  <c:v>ILOAD</c:v>
                </c:pt>
              </c:strCache>
            </c:strRef>
          </c:tx>
          <c:marker>
            <c:symbol val="none"/>
          </c:marker>
          <c:xVal>
            <c:numRef>
              <c:f>Start_up!$B$10:$B$111</c:f>
              <c:numCache>
                <c:formatCode>0.00</c:formatCode>
                <c:ptCount val="102"/>
                <c:pt idx="0">
                  <c:v>0</c:v>
                </c:pt>
                <c:pt idx="1">
                  <c:v>0.21153846153846156</c:v>
                </c:pt>
                <c:pt idx="2">
                  <c:v>0.42307692307692313</c:v>
                </c:pt>
                <c:pt idx="3">
                  <c:v>0.63461538461538469</c:v>
                </c:pt>
                <c:pt idx="4">
                  <c:v>0.84615384615384626</c:v>
                </c:pt>
                <c:pt idx="5">
                  <c:v>1.0576923076923077</c:v>
                </c:pt>
                <c:pt idx="6">
                  <c:v>1.2692307692307694</c:v>
                </c:pt>
                <c:pt idx="7">
                  <c:v>1.4807692307692306</c:v>
                </c:pt>
                <c:pt idx="8">
                  <c:v>1.6923076923076925</c:v>
                </c:pt>
                <c:pt idx="9">
                  <c:v>1.9038461538461537</c:v>
                </c:pt>
                <c:pt idx="10">
                  <c:v>2.1153846153846154</c:v>
                </c:pt>
                <c:pt idx="11">
                  <c:v>2.3269230769230771</c:v>
                </c:pt>
                <c:pt idx="12">
                  <c:v>2.5384615384615388</c:v>
                </c:pt>
                <c:pt idx="13">
                  <c:v>2.75</c:v>
                </c:pt>
                <c:pt idx="14">
                  <c:v>2.9615384615384612</c:v>
                </c:pt>
                <c:pt idx="15">
                  <c:v>3.1730769230769229</c:v>
                </c:pt>
                <c:pt idx="16">
                  <c:v>3.384615384615385</c:v>
                </c:pt>
                <c:pt idx="17">
                  <c:v>3.5961538461538463</c:v>
                </c:pt>
                <c:pt idx="18">
                  <c:v>3.8076923076923075</c:v>
                </c:pt>
                <c:pt idx="19">
                  <c:v>4.0192307692307692</c:v>
                </c:pt>
                <c:pt idx="20">
                  <c:v>4.2307692307692308</c:v>
                </c:pt>
                <c:pt idx="21">
                  <c:v>4.4423076923076925</c:v>
                </c:pt>
                <c:pt idx="22">
                  <c:v>4.6538461538461542</c:v>
                </c:pt>
                <c:pt idx="23">
                  <c:v>4.865384615384615</c:v>
                </c:pt>
                <c:pt idx="24">
                  <c:v>5.0769230769230775</c:v>
                </c:pt>
                <c:pt idx="25">
                  <c:v>5.2884615384615383</c:v>
                </c:pt>
                <c:pt idx="26">
                  <c:v>5.5</c:v>
                </c:pt>
                <c:pt idx="27">
                  <c:v>5.7115384615384617</c:v>
                </c:pt>
                <c:pt idx="28">
                  <c:v>5.9230769230769225</c:v>
                </c:pt>
                <c:pt idx="29">
                  <c:v>6.134615384615385</c:v>
                </c:pt>
                <c:pt idx="30">
                  <c:v>6.3461538461538458</c:v>
                </c:pt>
                <c:pt idx="31">
                  <c:v>6.5576923076923075</c:v>
                </c:pt>
                <c:pt idx="32">
                  <c:v>6.7692307692307701</c:v>
                </c:pt>
                <c:pt idx="33">
                  <c:v>6.9807692307692299</c:v>
                </c:pt>
                <c:pt idx="34">
                  <c:v>7.1923076923076925</c:v>
                </c:pt>
                <c:pt idx="35">
                  <c:v>7.4038461538461542</c:v>
                </c:pt>
                <c:pt idx="36">
                  <c:v>7.615384615384615</c:v>
                </c:pt>
                <c:pt idx="37">
                  <c:v>7.8269230769230775</c:v>
                </c:pt>
                <c:pt idx="38">
                  <c:v>8.0384615384615383</c:v>
                </c:pt>
                <c:pt idx="39">
                  <c:v>8.25</c:v>
                </c:pt>
                <c:pt idx="40">
                  <c:v>8.4615384615384617</c:v>
                </c:pt>
                <c:pt idx="41">
                  <c:v>8.6730769230769234</c:v>
                </c:pt>
                <c:pt idx="42">
                  <c:v>8.884615384615385</c:v>
                </c:pt>
                <c:pt idx="43">
                  <c:v>9.0961538461538449</c:v>
                </c:pt>
                <c:pt idx="44">
                  <c:v>9.3076923076923084</c:v>
                </c:pt>
                <c:pt idx="45">
                  <c:v>9.5192307692307701</c:v>
                </c:pt>
                <c:pt idx="46">
                  <c:v>9.7307692307692299</c:v>
                </c:pt>
                <c:pt idx="47">
                  <c:v>9.9423076923076916</c:v>
                </c:pt>
                <c:pt idx="48">
                  <c:v>10.153846153846155</c:v>
                </c:pt>
                <c:pt idx="49">
                  <c:v>10.365384615384615</c:v>
                </c:pt>
                <c:pt idx="50">
                  <c:v>10.576923076923077</c:v>
                </c:pt>
                <c:pt idx="51">
                  <c:v>10.788461538461538</c:v>
                </c:pt>
                <c:pt idx="52">
                  <c:v>11</c:v>
                </c:pt>
                <c:pt idx="53">
                  <c:v>11.21153846153846</c:v>
                </c:pt>
                <c:pt idx="54">
                  <c:v>11.423076923076923</c:v>
                </c:pt>
                <c:pt idx="55">
                  <c:v>11.634615384615385</c:v>
                </c:pt>
                <c:pt idx="56">
                  <c:v>11.846153846153845</c:v>
                </c:pt>
                <c:pt idx="57">
                  <c:v>12.057692307692308</c:v>
                </c:pt>
                <c:pt idx="58">
                  <c:v>12.26923076923077</c:v>
                </c:pt>
                <c:pt idx="59">
                  <c:v>12.48076923076923</c:v>
                </c:pt>
                <c:pt idx="60">
                  <c:v>12.692307692307692</c:v>
                </c:pt>
                <c:pt idx="61">
                  <c:v>12.903846153846155</c:v>
                </c:pt>
                <c:pt idx="62">
                  <c:v>13.115384615384615</c:v>
                </c:pt>
                <c:pt idx="63">
                  <c:v>13.326923076923077</c:v>
                </c:pt>
                <c:pt idx="64">
                  <c:v>13.53846153846154</c:v>
                </c:pt>
                <c:pt idx="65">
                  <c:v>13.75</c:v>
                </c:pt>
                <c:pt idx="66">
                  <c:v>13.96153846153846</c:v>
                </c:pt>
                <c:pt idx="67">
                  <c:v>14.173076923076923</c:v>
                </c:pt>
                <c:pt idx="68">
                  <c:v>14.384615384615385</c:v>
                </c:pt>
                <c:pt idx="69">
                  <c:v>14.596153846153845</c:v>
                </c:pt>
                <c:pt idx="70">
                  <c:v>14.807692307692308</c:v>
                </c:pt>
                <c:pt idx="71">
                  <c:v>15.01923076923077</c:v>
                </c:pt>
                <c:pt idx="72">
                  <c:v>15.23076923076923</c:v>
                </c:pt>
                <c:pt idx="73">
                  <c:v>15.442307692307692</c:v>
                </c:pt>
                <c:pt idx="74">
                  <c:v>15.653846153846155</c:v>
                </c:pt>
                <c:pt idx="75">
                  <c:v>15.865384615384615</c:v>
                </c:pt>
                <c:pt idx="76">
                  <c:v>16.076923076923077</c:v>
                </c:pt>
                <c:pt idx="77">
                  <c:v>16.28846153846154</c:v>
                </c:pt>
                <c:pt idx="78">
                  <c:v>16.5</c:v>
                </c:pt>
                <c:pt idx="79">
                  <c:v>16.71153846153846</c:v>
                </c:pt>
                <c:pt idx="80">
                  <c:v>16.923076923076923</c:v>
                </c:pt>
                <c:pt idx="81">
                  <c:v>17.134615384615383</c:v>
                </c:pt>
                <c:pt idx="82">
                  <c:v>17.346153846153847</c:v>
                </c:pt>
                <c:pt idx="83">
                  <c:v>17.55769230769231</c:v>
                </c:pt>
                <c:pt idx="84">
                  <c:v>17.76923076923077</c:v>
                </c:pt>
                <c:pt idx="85">
                  <c:v>17.98076923076923</c:v>
                </c:pt>
                <c:pt idx="86">
                  <c:v>18.19230769230769</c:v>
                </c:pt>
                <c:pt idx="87">
                  <c:v>18.403846153846153</c:v>
                </c:pt>
                <c:pt idx="88">
                  <c:v>18.615384615384617</c:v>
                </c:pt>
                <c:pt idx="89">
                  <c:v>18.826923076923077</c:v>
                </c:pt>
                <c:pt idx="90">
                  <c:v>19.03846153846154</c:v>
                </c:pt>
                <c:pt idx="91">
                  <c:v>19.25</c:v>
                </c:pt>
                <c:pt idx="92">
                  <c:v>19.46153846153846</c:v>
                </c:pt>
                <c:pt idx="93">
                  <c:v>19.673076923076923</c:v>
                </c:pt>
                <c:pt idx="94">
                  <c:v>19.884615384615383</c:v>
                </c:pt>
                <c:pt idx="95">
                  <c:v>20.096153846153847</c:v>
                </c:pt>
                <c:pt idx="96">
                  <c:v>20.30769230769231</c:v>
                </c:pt>
                <c:pt idx="97">
                  <c:v>20.51923076923077</c:v>
                </c:pt>
                <c:pt idx="98">
                  <c:v>20.73076923076923</c:v>
                </c:pt>
                <c:pt idx="99">
                  <c:v>20.94230769230769</c:v>
                </c:pt>
                <c:pt idx="100">
                  <c:v>21.153846153846153</c:v>
                </c:pt>
                <c:pt idx="101">
                  <c:v>21.365384615384617</c:v>
                </c:pt>
              </c:numCache>
            </c:numRef>
          </c:xVal>
          <c:yVal>
            <c:numRef>
              <c:f>Start_up!$C$10:$C$111</c:f>
              <c:numCache>
                <c:formatCode>0.000</c:formatCode>
                <c:ptCount val="102"/>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numCache>
            </c:numRef>
          </c:yVal>
          <c:smooth val="1"/>
          <c:extLst>
            <c:ext xmlns:c16="http://schemas.microsoft.com/office/drawing/2014/chart" uri="{C3380CC4-5D6E-409C-BE32-E72D297353CC}">
              <c16:uniqueId val="{00000000-9D8B-4D9F-9466-0861DEE8A5F4}"/>
            </c:ext>
          </c:extLst>
        </c:ser>
        <c:ser>
          <c:idx val="1"/>
          <c:order val="1"/>
          <c:tx>
            <c:strRef>
              <c:f>Start_up!$G$7</c:f>
              <c:strCache>
                <c:ptCount val="1"/>
                <c:pt idx="0">
                  <c:v>IFET</c:v>
                </c:pt>
              </c:strCache>
            </c:strRef>
          </c:tx>
          <c:marker>
            <c:symbol val="none"/>
          </c:marker>
          <c:xVal>
            <c:numRef>
              <c:f>Start_up!$B$10:$B$111</c:f>
              <c:numCache>
                <c:formatCode>0.00</c:formatCode>
                <c:ptCount val="102"/>
                <c:pt idx="0">
                  <c:v>0</c:v>
                </c:pt>
                <c:pt idx="1">
                  <c:v>0.21153846153846156</c:v>
                </c:pt>
                <c:pt idx="2">
                  <c:v>0.42307692307692313</c:v>
                </c:pt>
                <c:pt idx="3">
                  <c:v>0.63461538461538469</c:v>
                </c:pt>
                <c:pt idx="4">
                  <c:v>0.84615384615384626</c:v>
                </c:pt>
                <c:pt idx="5">
                  <c:v>1.0576923076923077</c:v>
                </c:pt>
                <c:pt idx="6">
                  <c:v>1.2692307692307694</c:v>
                </c:pt>
                <c:pt idx="7">
                  <c:v>1.4807692307692306</c:v>
                </c:pt>
                <c:pt idx="8">
                  <c:v>1.6923076923076925</c:v>
                </c:pt>
                <c:pt idx="9">
                  <c:v>1.9038461538461537</c:v>
                </c:pt>
                <c:pt idx="10">
                  <c:v>2.1153846153846154</c:v>
                </c:pt>
                <c:pt idx="11">
                  <c:v>2.3269230769230771</c:v>
                </c:pt>
                <c:pt idx="12">
                  <c:v>2.5384615384615388</c:v>
                </c:pt>
                <c:pt idx="13">
                  <c:v>2.75</c:v>
                </c:pt>
                <c:pt idx="14">
                  <c:v>2.9615384615384612</c:v>
                </c:pt>
                <c:pt idx="15">
                  <c:v>3.1730769230769229</c:v>
                </c:pt>
                <c:pt idx="16">
                  <c:v>3.384615384615385</c:v>
                </c:pt>
                <c:pt idx="17">
                  <c:v>3.5961538461538463</c:v>
                </c:pt>
                <c:pt idx="18">
                  <c:v>3.8076923076923075</c:v>
                </c:pt>
                <c:pt idx="19">
                  <c:v>4.0192307692307692</c:v>
                </c:pt>
                <c:pt idx="20">
                  <c:v>4.2307692307692308</c:v>
                </c:pt>
                <c:pt idx="21">
                  <c:v>4.4423076923076925</c:v>
                </c:pt>
                <c:pt idx="22">
                  <c:v>4.6538461538461542</c:v>
                </c:pt>
                <c:pt idx="23">
                  <c:v>4.865384615384615</c:v>
                </c:pt>
                <c:pt idx="24">
                  <c:v>5.0769230769230775</c:v>
                </c:pt>
                <c:pt idx="25">
                  <c:v>5.2884615384615383</c:v>
                </c:pt>
                <c:pt idx="26">
                  <c:v>5.5</c:v>
                </c:pt>
                <c:pt idx="27">
                  <c:v>5.7115384615384617</c:v>
                </c:pt>
                <c:pt idx="28">
                  <c:v>5.9230769230769225</c:v>
                </c:pt>
                <c:pt idx="29">
                  <c:v>6.134615384615385</c:v>
                </c:pt>
                <c:pt idx="30">
                  <c:v>6.3461538461538458</c:v>
                </c:pt>
                <c:pt idx="31">
                  <c:v>6.5576923076923075</c:v>
                </c:pt>
                <c:pt idx="32">
                  <c:v>6.7692307692307701</c:v>
                </c:pt>
                <c:pt idx="33">
                  <c:v>6.9807692307692299</c:v>
                </c:pt>
                <c:pt idx="34">
                  <c:v>7.1923076923076925</c:v>
                </c:pt>
                <c:pt idx="35">
                  <c:v>7.4038461538461542</c:v>
                </c:pt>
                <c:pt idx="36">
                  <c:v>7.615384615384615</c:v>
                </c:pt>
                <c:pt idx="37">
                  <c:v>7.8269230769230775</c:v>
                </c:pt>
                <c:pt idx="38">
                  <c:v>8.0384615384615383</c:v>
                </c:pt>
                <c:pt idx="39">
                  <c:v>8.25</c:v>
                </c:pt>
                <c:pt idx="40">
                  <c:v>8.4615384615384617</c:v>
                </c:pt>
                <c:pt idx="41">
                  <c:v>8.6730769230769234</c:v>
                </c:pt>
                <c:pt idx="42">
                  <c:v>8.884615384615385</c:v>
                </c:pt>
                <c:pt idx="43">
                  <c:v>9.0961538461538449</c:v>
                </c:pt>
                <c:pt idx="44">
                  <c:v>9.3076923076923084</c:v>
                </c:pt>
                <c:pt idx="45">
                  <c:v>9.5192307692307701</c:v>
                </c:pt>
                <c:pt idx="46">
                  <c:v>9.7307692307692299</c:v>
                </c:pt>
                <c:pt idx="47">
                  <c:v>9.9423076923076916</c:v>
                </c:pt>
                <c:pt idx="48">
                  <c:v>10.153846153846155</c:v>
                </c:pt>
                <c:pt idx="49">
                  <c:v>10.365384615384615</c:v>
                </c:pt>
                <c:pt idx="50">
                  <c:v>10.576923076923077</c:v>
                </c:pt>
                <c:pt idx="51">
                  <c:v>10.788461538461538</c:v>
                </c:pt>
                <c:pt idx="52">
                  <c:v>11</c:v>
                </c:pt>
                <c:pt idx="53">
                  <c:v>11.21153846153846</c:v>
                </c:pt>
                <c:pt idx="54">
                  <c:v>11.423076923076923</c:v>
                </c:pt>
                <c:pt idx="55">
                  <c:v>11.634615384615385</c:v>
                </c:pt>
                <c:pt idx="56">
                  <c:v>11.846153846153845</c:v>
                </c:pt>
                <c:pt idx="57">
                  <c:v>12.057692307692308</c:v>
                </c:pt>
                <c:pt idx="58">
                  <c:v>12.26923076923077</c:v>
                </c:pt>
                <c:pt idx="59">
                  <c:v>12.48076923076923</c:v>
                </c:pt>
                <c:pt idx="60">
                  <c:v>12.692307692307692</c:v>
                </c:pt>
                <c:pt idx="61">
                  <c:v>12.903846153846155</c:v>
                </c:pt>
                <c:pt idx="62">
                  <c:v>13.115384615384615</c:v>
                </c:pt>
                <c:pt idx="63">
                  <c:v>13.326923076923077</c:v>
                </c:pt>
                <c:pt idx="64">
                  <c:v>13.53846153846154</c:v>
                </c:pt>
                <c:pt idx="65">
                  <c:v>13.75</c:v>
                </c:pt>
                <c:pt idx="66">
                  <c:v>13.96153846153846</c:v>
                </c:pt>
                <c:pt idx="67">
                  <c:v>14.173076923076923</c:v>
                </c:pt>
                <c:pt idx="68">
                  <c:v>14.384615384615385</c:v>
                </c:pt>
                <c:pt idx="69">
                  <c:v>14.596153846153845</c:v>
                </c:pt>
                <c:pt idx="70">
                  <c:v>14.807692307692308</c:v>
                </c:pt>
                <c:pt idx="71">
                  <c:v>15.01923076923077</c:v>
                </c:pt>
                <c:pt idx="72">
                  <c:v>15.23076923076923</c:v>
                </c:pt>
                <c:pt idx="73">
                  <c:v>15.442307692307692</c:v>
                </c:pt>
                <c:pt idx="74">
                  <c:v>15.653846153846155</c:v>
                </c:pt>
                <c:pt idx="75">
                  <c:v>15.865384615384615</c:v>
                </c:pt>
                <c:pt idx="76">
                  <c:v>16.076923076923077</c:v>
                </c:pt>
                <c:pt idx="77">
                  <c:v>16.28846153846154</c:v>
                </c:pt>
                <c:pt idx="78">
                  <c:v>16.5</c:v>
                </c:pt>
                <c:pt idx="79">
                  <c:v>16.71153846153846</c:v>
                </c:pt>
                <c:pt idx="80">
                  <c:v>16.923076923076923</c:v>
                </c:pt>
                <c:pt idx="81">
                  <c:v>17.134615384615383</c:v>
                </c:pt>
                <c:pt idx="82">
                  <c:v>17.346153846153847</c:v>
                </c:pt>
                <c:pt idx="83">
                  <c:v>17.55769230769231</c:v>
                </c:pt>
                <c:pt idx="84">
                  <c:v>17.76923076923077</c:v>
                </c:pt>
                <c:pt idx="85">
                  <c:v>17.98076923076923</c:v>
                </c:pt>
                <c:pt idx="86">
                  <c:v>18.19230769230769</c:v>
                </c:pt>
                <c:pt idx="87">
                  <c:v>18.403846153846153</c:v>
                </c:pt>
                <c:pt idx="88">
                  <c:v>18.615384615384617</c:v>
                </c:pt>
                <c:pt idx="89">
                  <c:v>18.826923076923077</c:v>
                </c:pt>
                <c:pt idx="90">
                  <c:v>19.03846153846154</c:v>
                </c:pt>
                <c:pt idx="91">
                  <c:v>19.25</c:v>
                </c:pt>
                <c:pt idx="92">
                  <c:v>19.46153846153846</c:v>
                </c:pt>
                <c:pt idx="93">
                  <c:v>19.673076923076923</c:v>
                </c:pt>
                <c:pt idx="94">
                  <c:v>19.884615384615383</c:v>
                </c:pt>
                <c:pt idx="95">
                  <c:v>20.096153846153847</c:v>
                </c:pt>
                <c:pt idx="96">
                  <c:v>20.30769230769231</c:v>
                </c:pt>
                <c:pt idx="97">
                  <c:v>20.51923076923077</c:v>
                </c:pt>
                <c:pt idx="98">
                  <c:v>20.73076923076923</c:v>
                </c:pt>
                <c:pt idx="99">
                  <c:v>20.94230769230769</c:v>
                </c:pt>
                <c:pt idx="100">
                  <c:v>21.153846153846153</c:v>
                </c:pt>
                <c:pt idx="101">
                  <c:v>21.365384615384617</c:v>
                </c:pt>
              </c:numCache>
            </c:numRef>
          </c:xVal>
          <c:yVal>
            <c:numRef>
              <c:f>Start_up!$G$10:$G$112</c:f>
              <c:numCache>
                <c:formatCode>General</c:formatCode>
                <c:ptCount val="103"/>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pt idx="18">
                  <c:v>0.52</c:v>
                </c:pt>
                <c:pt idx="19">
                  <c:v>0.52</c:v>
                </c:pt>
                <c:pt idx="20">
                  <c:v>0.52</c:v>
                </c:pt>
                <c:pt idx="21">
                  <c:v>0.52</c:v>
                </c:pt>
                <c:pt idx="22">
                  <c:v>0.52</c:v>
                </c:pt>
                <c:pt idx="23">
                  <c:v>0.52</c:v>
                </c:pt>
                <c:pt idx="24">
                  <c:v>0.52</c:v>
                </c:pt>
                <c:pt idx="25">
                  <c:v>0.52</c:v>
                </c:pt>
                <c:pt idx="26">
                  <c:v>0.52</c:v>
                </c:pt>
                <c:pt idx="27">
                  <c:v>0.52</c:v>
                </c:pt>
                <c:pt idx="28">
                  <c:v>0.52</c:v>
                </c:pt>
                <c:pt idx="29">
                  <c:v>0.52</c:v>
                </c:pt>
                <c:pt idx="30">
                  <c:v>0.52</c:v>
                </c:pt>
                <c:pt idx="31">
                  <c:v>0.52</c:v>
                </c:pt>
                <c:pt idx="32">
                  <c:v>0.52</c:v>
                </c:pt>
                <c:pt idx="33">
                  <c:v>0.52</c:v>
                </c:pt>
                <c:pt idx="34">
                  <c:v>0.52</c:v>
                </c:pt>
                <c:pt idx="35">
                  <c:v>0.52</c:v>
                </c:pt>
                <c:pt idx="36">
                  <c:v>0.52</c:v>
                </c:pt>
                <c:pt idx="37">
                  <c:v>0.52</c:v>
                </c:pt>
                <c:pt idx="38">
                  <c:v>0.52</c:v>
                </c:pt>
                <c:pt idx="39">
                  <c:v>0.52</c:v>
                </c:pt>
                <c:pt idx="40">
                  <c:v>0.52</c:v>
                </c:pt>
                <c:pt idx="41">
                  <c:v>0.52</c:v>
                </c:pt>
                <c:pt idx="42">
                  <c:v>0.52</c:v>
                </c:pt>
                <c:pt idx="43">
                  <c:v>0.52</c:v>
                </c:pt>
                <c:pt idx="44">
                  <c:v>0.52</c:v>
                </c:pt>
                <c:pt idx="45">
                  <c:v>0.52</c:v>
                </c:pt>
                <c:pt idx="46">
                  <c:v>0.52</c:v>
                </c:pt>
                <c:pt idx="47">
                  <c:v>0.52</c:v>
                </c:pt>
                <c:pt idx="48">
                  <c:v>0.52</c:v>
                </c:pt>
                <c:pt idx="49">
                  <c:v>0.52</c:v>
                </c:pt>
                <c:pt idx="50">
                  <c:v>0.52</c:v>
                </c:pt>
                <c:pt idx="51">
                  <c:v>0.52</c:v>
                </c:pt>
                <c:pt idx="52">
                  <c:v>0.52</c:v>
                </c:pt>
                <c:pt idx="53">
                  <c:v>0.52</c:v>
                </c:pt>
                <c:pt idx="54">
                  <c:v>0.52</c:v>
                </c:pt>
                <c:pt idx="55">
                  <c:v>0.52</c:v>
                </c:pt>
                <c:pt idx="56">
                  <c:v>0.52</c:v>
                </c:pt>
                <c:pt idx="57">
                  <c:v>0.52</c:v>
                </c:pt>
                <c:pt idx="58">
                  <c:v>0.52</c:v>
                </c:pt>
                <c:pt idx="59">
                  <c:v>0.52</c:v>
                </c:pt>
                <c:pt idx="60">
                  <c:v>0.52</c:v>
                </c:pt>
                <c:pt idx="61">
                  <c:v>0.52</c:v>
                </c:pt>
                <c:pt idx="62">
                  <c:v>0.52</c:v>
                </c:pt>
                <c:pt idx="63">
                  <c:v>0.52</c:v>
                </c:pt>
                <c:pt idx="64">
                  <c:v>0.52</c:v>
                </c:pt>
                <c:pt idx="65">
                  <c:v>0.52</c:v>
                </c:pt>
                <c:pt idx="66">
                  <c:v>0.52</c:v>
                </c:pt>
                <c:pt idx="67">
                  <c:v>0.52</c:v>
                </c:pt>
                <c:pt idx="68">
                  <c:v>0.52</c:v>
                </c:pt>
                <c:pt idx="69">
                  <c:v>0.52</c:v>
                </c:pt>
                <c:pt idx="70">
                  <c:v>0.52</c:v>
                </c:pt>
                <c:pt idx="71">
                  <c:v>0.52</c:v>
                </c:pt>
                <c:pt idx="72">
                  <c:v>0.52</c:v>
                </c:pt>
                <c:pt idx="73">
                  <c:v>0.52</c:v>
                </c:pt>
                <c:pt idx="74">
                  <c:v>0.52</c:v>
                </c:pt>
                <c:pt idx="75">
                  <c:v>0.52</c:v>
                </c:pt>
                <c:pt idx="76">
                  <c:v>0.52</c:v>
                </c:pt>
                <c:pt idx="77">
                  <c:v>0.52</c:v>
                </c:pt>
                <c:pt idx="78">
                  <c:v>0.52</c:v>
                </c:pt>
                <c:pt idx="79">
                  <c:v>0.52</c:v>
                </c:pt>
                <c:pt idx="80">
                  <c:v>0.52</c:v>
                </c:pt>
                <c:pt idx="81">
                  <c:v>0.52</c:v>
                </c:pt>
                <c:pt idx="82">
                  <c:v>0.52</c:v>
                </c:pt>
                <c:pt idx="83">
                  <c:v>0.52</c:v>
                </c:pt>
                <c:pt idx="84">
                  <c:v>0.52</c:v>
                </c:pt>
                <c:pt idx="85">
                  <c:v>0.52</c:v>
                </c:pt>
                <c:pt idx="86">
                  <c:v>0.52</c:v>
                </c:pt>
                <c:pt idx="87">
                  <c:v>0.52</c:v>
                </c:pt>
                <c:pt idx="88">
                  <c:v>0.52</c:v>
                </c:pt>
                <c:pt idx="89">
                  <c:v>0.52</c:v>
                </c:pt>
                <c:pt idx="90">
                  <c:v>0.52</c:v>
                </c:pt>
                <c:pt idx="91">
                  <c:v>0.52</c:v>
                </c:pt>
                <c:pt idx="92">
                  <c:v>0.52</c:v>
                </c:pt>
                <c:pt idx="93">
                  <c:v>0.52</c:v>
                </c:pt>
                <c:pt idx="94">
                  <c:v>0.52</c:v>
                </c:pt>
                <c:pt idx="95">
                  <c:v>0.52</c:v>
                </c:pt>
                <c:pt idx="96">
                  <c:v>0.52</c:v>
                </c:pt>
                <c:pt idx="97">
                  <c:v>0.52</c:v>
                </c:pt>
                <c:pt idx="98">
                  <c:v>0.52</c:v>
                </c:pt>
                <c:pt idx="99">
                  <c:v>0.52</c:v>
                </c:pt>
                <c:pt idx="100">
                  <c:v>0.52</c:v>
                </c:pt>
                <c:pt idx="101">
                  <c:v>0.52</c:v>
                </c:pt>
                <c:pt idx="102">
                  <c:v>0.52</c:v>
                </c:pt>
              </c:numCache>
            </c:numRef>
          </c:yVal>
          <c:smooth val="1"/>
          <c:extLst>
            <c:ext xmlns:c16="http://schemas.microsoft.com/office/drawing/2014/chart" uri="{C3380CC4-5D6E-409C-BE32-E72D297353CC}">
              <c16:uniqueId val="{00000001-9D8B-4D9F-9466-0861DEE8A5F4}"/>
            </c:ext>
          </c:extLst>
        </c:ser>
        <c:dLbls>
          <c:showLegendKey val="0"/>
          <c:showVal val="0"/>
          <c:showCatName val="0"/>
          <c:showSerName val="0"/>
          <c:showPercent val="0"/>
          <c:showBubbleSize val="0"/>
        </c:dLbls>
        <c:axId val="340069376"/>
        <c:axId val="340100224"/>
      </c:scatterChart>
      <c:valAx>
        <c:axId val="340069376"/>
        <c:scaling>
          <c:orientation val="minMax"/>
        </c:scaling>
        <c:delete val="0"/>
        <c:axPos val="b"/>
        <c:majorGridlines/>
        <c:minorGridlines/>
        <c:title>
          <c:tx>
            <c:rich>
              <a:bodyPr/>
              <a:lstStyle/>
              <a:p>
                <a:pPr>
                  <a:defRPr/>
                </a:pPr>
                <a:r>
                  <a:rPr lang="en-US"/>
                  <a:t>Output</a:t>
                </a:r>
                <a:r>
                  <a:rPr lang="en-US" baseline="0"/>
                  <a:t> Voltage (V)</a:t>
                </a:r>
                <a:endParaRPr lang="en-US"/>
              </a:p>
            </c:rich>
          </c:tx>
          <c:layout>
            <c:manualLayout>
              <c:xMode val="edge"/>
              <c:yMode val="edge"/>
              <c:x val="0.40914479681091759"/>
              <c:y val="0.92545001031614371"/>
            </c:manualLayout>
          </c:layout>
          <c:overlay val="0"/>
        </c:title>
        <c:numFmt formatCode="0.00" sourceLinked="1"/>
        <c:majorTickMark val="out"/>
        <c:minorTickMark val="none"/>
        <c:tickLblPos val="nextTo"/>
        <c:txPr>
          <a:bodyPr/>
          <a:lstStyle/>
          <a:p>
            <a:pPr>
              <a:defRPr b="1"/>
            </a:pPr>
            <a:endParaRPr lang="en-US"/>
          </a:p>
        </c:txPr>
        <c:crossAx val="340100224"/>
        <c:crosses val="autoZero"/>
        <c:crossBetween val="midCat"/>
      </c:valAx>
      <c:valAx>
        <c:axId val="340100224"/>
        <c:scaling>
          <c:orientation val="minMax"/>
          <c:min val="0"/>
        </c:scaling>
        <c:delete val="0"/>
        <c:axPos val="l"/>
        <c:majorGridlines/>
        <c:minorGridlines/>
        <c:title>
          <c:tx>
            <c:rich>
              <a:bodyPr rot="-5400000" vert="horz"/>
              <a:lstStyle/>
              <a:p>
                <a:pPr>
                  <a:defRPr/>
                </a:pPr>
                <a:r>
                  <a:rPr lang="en-US"/>
                  <a:t>Current (A)</a:t>
                </a:r>
              </a:p>
            </c:rich>
          </c:tx>
          <c:layout>
            <c:manualLayout>
              <c:xMode val="edge"/>
              <c:yMode val="edge"/>
              <c:x val="2.5894125229633976E-2"/>
              <c:y val="0.40230013499530876"/>
            </c:manualLayout>
          </c:layout>
          <c:overlay val="0"/>
        </c:title>
        <c:numFmt formatCode="0.00" sourceLinked="0"/>
        <c:majorTickMark val="out"/>
        <c:minorTickMark val="none"/>
        <c:tickLblPos val="nextTo"/>
        <c:txPr>
          <a:bodyPr/>
          <a:lstStyle/>
          <a:p>
            <a:pPr>
              <a:defRPr b="1"/>
            </a:pPr>
            <a:endParaRPr lang="en-US"/>
          </a:p>
        </c:txPr>
        <c:crossAx val="340069376"/>
        <c:crosses val="autoZero"/>
        <c:crossBetween val="midCat"/>
      </c:valAx>
    </c:plotArea>
    <c:legend>
      <c:legendPos val="r"/>
      <c:layout>
        <c:manualLayout>
          <c:xMode val="edge"/>
          <c:yMode val="edge"/>
          <c:x val="0.69663816666481315"/>
          <c:y val="0.3081804569940747"/>
          <c:w val="0.21462230092985587"/>
          <c:h val="0.18516649249275954"/>
        </c:manualLayout>
      </c:layout>
      <c:overlay val="0"/>
      <c:spPr>
        <a:solidFill>
          <a:sysClr val="window" lastClr="FFFFFF"/>
        </a:solidFill>
        <a:ln>
          <a:solidFill>
            <a:schemeClr val="tx1"/>
          </a:solidFill>
        </a:ln>
      </c:spPr>
      <c:txPr>
        <a:bodyPr/>
        <a:lstStyle/>
        <a:p>
          <a:pPr>
            <a:defRPr>
              <a:ln>
                <a:solidFill>
                  <a:sysClr val="windowText" lastClr="000000"/>
                </a:solidFill>
              </a:ln>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sz="1600"/>
              <a:t>Start</a:t>
            </a:r>
            <a:r>
              <a:rPr lang="en-US" sz="1600" baseline="0"/>
              <a:t> - up: </a:t>
            </a:r>
            <a:r>
              <a:rPr lang="en-US" sz="1600"/>
              <a:t>FET</a:t>
            </a:r>
            <a:r>
              <a:rPr lang="en-US" sz="1600" baseline="0"/>
              <a:t> Power (</a:t>
            </a:r>
            <a:r>
              <a:rPr lang="en-US" sz="1600" b="1" i="0" u="none" strike="noStrike" baseline="0">
                <a:effectLst/>
              </a:rPr>
              <a:t>V</a:t>
            </a:r>
            <a:r>
              <a:rPr lang="en-US" sz="1600" b="1" i="0" u="none" strike="noStrike" baseline="-25000">
                <a:effectLst/>
              </a:rPr>
              <a:t>IN</a:t>
            </a:r>
            <a:r>
              <a:rPr lang="en-US" sz="1600" b="1" i="0" u="none" strike="noStrike" baseline="0">
                <a:effectLst/>
              </a:rPr>
              <a:t> = </a:t>
            </a:r>
            <a:r>
              <a:rPr lang="en-US" sz="1600" b="1" i="0" baseline="0">
                <a:effectLst/>
              </a:rPr>
              <a:t>V</a:t>
            </a:r>
            <a:r>
              <a:rPr lang="en-US" sz="1600" b="1" i="0" baseline="-25000">
                <a:effectLst/>
              </a:rPr>
              <a:t>INMAX</a:t>
            </a:r>
            <a:r>
              <a:rPr lang="en-US" sz="1600" b="1" i="0" u="none" strike="noStrike" baseline="0">
                <a:effectLst/>
              </a:rPr>
              <a:t>)</a:t>
            </a:r>
            <a:endParaRPr lang="en-US" sz="1600"/>
          </a:p>
        </c:rich>
      </c:tx>
      <c:layout>
        <c:manualLayout>
          <c:xMode val="edge"/>
          <c:yMode val="edge"/>
          <c:x val="0.17168280846180337"/>
          <c:y val="4.7012757938160914E-3"/>
        </c:manualLayout>
      </c:layout>
      <c:overlay val="0"/>
      <c:spPr>
        <a:solidFill>
          <a:schemeClr val="bg1"/>
        </a:solidFill>
      </c:spPr>
    </c:title>
    <c:autoTitleDeleted val="0"/>
    <c:plotArea>
      <c:layout>
        <c:manualLayout>
          <c:layoutTarget val="inner"/>
          <c:xMode val="edge"/>
          <c:yMode val="edge"/>
          <c:x val="0.13282996456702728"/>
          <c:y val="0.1721780614790322"/>
          <c:w val="0.77382819618555254"/>
          <c:h val="0.62754538725316988"/>
        </c:manualLayout>
      </c:layout>
      <c:scatterChart>
        <c:scatterStyle val="lineMarker"/>
        <c:varyColors val="0"/>
        <c:ser>
          <c:idx val="0"/>
          <c:order val="0"/>
          <c:tx>
            <c:v>FET power dissipation</c:v>
          </c:tx>
          <c:marker>
            <c:symbol val="none"/>
          </c:marker>
          <c:xVal>
            <c:numRef>
              <c:f>Start_up!$K$8:$K$115</c:f>
              <c:numCache>
                <c:formatCode>0.00</c:formatCode>
                <c:ptCount val="108"/>
                <c:pt idx="0" formatCode="0.0">
                  <c:v>-1</c:v>
                </c:pt>
                <c:pt idx="1">
                  <c:v>-0.01</c:v>
                </c:pt>
                <c:pt idx="2" formatCode="0.0">
                  <c:v>0</c:v>
                </c:pt>
                <c:pt idx="3" formatCode="0.0">
                  <c:v>1.9831730769230773</c:v>
                </c:pt>
                <c:pt idx="4" formatCode="0.0">
                  <c:v>3.9663461538461546</c:v>
                </c:pt>
                <c:pt idx="5" formatCode="0.0">
                  <c:v>5.9495192307692326</c:v>
                </c:pt>
                <c:pt idx="6" formatCode="0.0">
                  <c:v>7.9326923076923093</c:v>
                </c:pt>
                <c:pt idx="7" formatCode="0.0">
                  <c:v>9.915865384615385</c:v>
                </c:pt>
                <c:pt idx="8" formatCode="0.0">
                  <c:v>11.899038461538465</c:v>
                </c:pt>
                <c:pt idx="9" formatCode="0.0">
                  <c:v>13.882211538461538</c:v>
                </c:pt>
                <c:pt idx="10" formatCode="0.0">
                  <c:v>15.865384615384619</c:v>
                </c:pt>
                <c:pt idx="11" formatCode="0.0">
                  <c:v>17.84855769230769</c:v>
                </c:pt>
                <c:pt idx="12" formatCode="0.0">
                  <c:v>19.831730769230766</c:v>
                </c:pt>
                <c:pt idx="13" formatCode="0.0">
                  <c:v>21.814903846153847</c:v>
                </c:pt>
                <c:pt idx="14" formatCode="0.0">
                  <c:v>23.798076923076923</c:v>
                </c:pt>
                <c:pt idx="15" formatCode="0.0">
                  <c:v>25.781249999999996</c:v>
                </c:pt>
                <c:pt idx="16" formatCode="0.0">
                  <c:v>27.76442307692307</c:v>
                </c:pt>
                <c:pt idx="17" formatCode="0.0">
                  <c:v>29.747596153846146</c:v>
                </c:pt>
                <c:pt idx="18" formatCode="0.0">
                  <c:v>31.73076923076923</c:v>
                </c:pt>
                <c:pt idx="19" formatCode="0.0">
                  <c:v>33.713942307692307</c:v>
                </c:pt>
                <c:pt idx="20" formatCode="0.0">
                  <c:v>35.69711538461538</c:v>
                </c:pt>
                <c:pt idx="21" formatCode="0.0">
                  <c:v>37.68028846153846</c:v>
                </c:pt>
                <c:pt idx="22" formatCode="0.0">
                  <c:v>39.663461538461533</c:v>
                </c:pt>
                <c:pt idx="23" formatCode="0.0">
                  <c:v>41.646634615384613</c:v>
                </c:pt>
                <c:pt idx="24" formatCode="0.0">
                  <c:v>43.629807692307693</c:v>
                </c:pt>
                <c:pt idx="25" formatCode="0.0">
                  <c:v>45.612980769230759</c:v>
                </c:pt>
                <c:pt idx="26" formatCode="0.0">
                  <c:v>47.596153846153847</c:v>
                </c:pt>
                <c:pt idx="27" formatCode="0.0">
                  <c:v>49.579326923076913</c:v>
                </c:pt>
                <c:pt idx="28" formatCode="0.0">
                  <c:v>51.562499999999993</c:v>
                </c:pt>
                <c:pt idx="29" formatCode="0.0">
                  <c:v>53.545673076923066</c:v>
                </c:pt>
                <c:pt idx="30" formatCode="0.0">
                  <c:v>55.528846153846139</c:v>
                </c:pt>
                <c:pt idx="31" formatCode="0.0">
                  <c:v>57.512019230769219</c:v>
                </c:pt>
                <c:pt idx="32" formatCode="0.0">
                  <c:v>59.495192307692292</c:v>
                </c:pt>
                <c:pt idx="33" formatCode="0.0">
                  <c:v>61.478365384615365</c:v>
                </c:pt>
                <c:pt idx="34" formatCode="0.0">
                  <c:v>63.46153846153846</c:v>
                </c:pt>
                <c:pt idx="35" formatCode="0.0">
                  <c:v>65.444711538461519</c:v>
                </c:pt>
                <c:pt idx="36" formatCode="0.0">
                  <c:v>67.427884615384599</c:v>
                </c:pt>
                <c:pt idx="37" formatCode="0.0">
                  <c:v>69.411057692307679</c:v>
                </c:pt>
                <c:pt idx="38" formatCode="0.0">
                  <c:v>71.394230769230745</c:v>
                </c:pt>
                <c:pt idx="39" formatCode="0.0">
                  <c:v>73.37740384615384</c:v>
                </c:pt>
                <c:pt idx="40" formatCode="0.0">
                  <c:v>75.360576923076906</c:v>
                </c:pt>
                <c:pt idx="41" formatCode="0.0">
                  <c:v>77.343749999999986</c:v>
                </c:pt>
                <c:pt idx="42" formatCode="0.0">
                  <c:v>79.326923076923066</c:v>
                </c:pt>
                <c:pt idx="43" formatCode="0.0">
                  <c:v>81.31009615384616</c:v>
                </c:pt>
                <c:pt idx="44" formatCode="0.0">
                  <c:v>83.293269230769241</c:v>
                </c:pt>
                <c:pt idx="45" formatCode="0.0">
                  <c:v>85.276442307692292</c:v>
                </c:pt>
                <c:pt idx="46" formatCode="0.0">
                  <c:v>87.259615384615387</c:v>
                </c:pt>
                <c:pt idx="47" formatCode="0.0">
                  <c:v>89.242788461538481</c:v>
                </c:pt>
                <c:pt idx="48" formatCode="0.0">
                  <c:v>91.225961538461533</c:v>
                </c:pt>
                <c:pt idx="49" formatCode="0.0">
                  <c:v>93.209134615384613</c:v>
                </c:pt>
                <c:pt idx="50" formatCode="0.0">
                  <c:v>95.192307692307722</c:v>
                </c:pt>
                <c:pt idx="51" formatCode="0.0">
                  <c:v>97.175480769230774</c:v>
                </c:pt>
                <c:pt idx="52" formatCode="0.0">
                  <c:v>99.158653846153854</c:v>
                </c:pt>
                <c:pt idx="53" formatCode="0.0">
                  <c:v>101.14182692307693</c:v>
                </c:pt>
                <c:pt idx="54" formatCode="0.0">
                  <c:v>103.12500000000003</c:v>
                </c:pt>
                <c:pt idx="55" formatCode="0.0">
                  <c:v>105.10817307692308</c:v>
                </c:pt>
                <c:pt idx="56" formatCode="0.0">
                  <c:v>107.09134615384617</c:v>
                </c:pt>
                <c:pt idx="57" formatCode="0.0">
                  <c:v>109.07451923076925</c:v>
                </c:pt>
                <c:pt idx="58" formatCode="0.0">
                  <c:v>111.05769230769232</c:v>
                </c:pt>
                <c:pt idx="59" formatCode="0.0">
                  <c:v>113.04086538461542</c:v>
                </c:pt>
                <c:pt idx="60" formatCode="0.0">
                  <c:v>115.0240384615385</c:v>
                </c:pt>
                <c:pt idx="61" formatCode="0.0">
                  <c:v>117.00721153846155</c:v>
                </c:pt>
                <c:pt idx="62" formatCode="0.0">
                  <c:v>118.99038461538464</c:v>
                </c:pt>
                <c:pt idx="63" formatCode="0.0">
                  <c:v>120.97355769230774</c:v>
                </c:pt>
                <c:pt idx="64" formatCode="0.0">
                  <c:v>122.95673076923079</c:v>
                </c:pt>
                <c:pt idx="65" formatCode="0.0">
                  <c:v>124.93990384615387</c:v>
                </c:pt>
                <c:pt idx="66" formatCode="0.0">
                  <c:v>126.92307692307698</c:v>
                </c:pt>
                <c:pt idx="67" formatCode="0.0">
                  <c:v>128.90625000000003</c:v>
                </c:pt>
                <c:pt idx="68" formatCode="0.0">
                  <c:v>130.88942307692309</c:v>
                </c:pt>
                <c:pt idx="69" formatCode="0.0">
                  <c:v>132.87259615384616</c:v>
                </c:pt>
                <c:pt idx="70" formatCode="0.0">
                  <c:v>134.85576923076925</c:v>
                </c:pt>
                <c:pt idx="71" formatCode="0.0">
                  <c:v>136.83894230769232</c:v>
                </c:pt>
                <c:pt idx="72" formatCode="0.0">
                  <c:v>138.82211538461539</c:v>
                </c:pt>
                <c:pt idx="73" formatCode="0.0">
                  <c:v>140.80528846153848</c:v>
                </c:pt>
                <c:pt idx="74" formatCode="0.0">
                  <c:v>142.78846153846152</c:v>
                </c:pt>
                <c:pt idx="75" formatCode="0.0">
                  <c:v>144.77163461538461</c:v>
                </c:pt>
                <c:pt idx="76" formatCode="0.0">
                  <c:v>146.75480769230771</c:v>
                </c:pt>
                <c:pt idx="77" formatCode="0.0">
                  <c:v>148.73798076923075</c:v>
                </c:pt>
                <c:pt idx="78" formatCode="0.0">
                  <c:v>150.72115384615384</c:v>
                </c:pt>
                <c:pt idx="79" formatCode="0.0">
                  <c:v>152.70432692307693</c:v>
                </c:pt>
                <c:pt idx="80" formatCode="0.0">
                  <c:v>154.68749999999997</c:v>
                </c:pt>
                <c:pt idx="81" formatCode="0.0">
                  <c:v>156.67067307692304</c:v>
                </c:pt>
                <c:pt idx="82" formatCode="0.0">
                  <c:v>158.6538461538461</c:v>
                </c:pt>
                <c:pt idx="83" formatCode="0.0">
                  <c:v>160.63701923076917</c:v>
                </c:pt>
                <c:pt idx="84" formatCode="0.0">
                  <c:v>162.62019230769226</c:v>
                </c:pt>
                <c:pt idx="85" formatCode="0.0">
                  <c:v>164.60336538461533</c:v>
                </c:pt>
                <c:pt idx="86" formatCode="0.0">
                  <c:v>166.5865384615384</c:v>
                </c:pt>
                <c:pt idx="87" formatCode="0.0">
                  <c:v>168.56971153846146</c:v>
                </c:pt>
                <c:pt idx="88" formatCode="0.0">
                  <c:v>170.5528846153845</c:v>
                </c:pt>
                <c:pt idx="89" formatCode="0.0">
                  <c:v>172.53605769230759</c:v>
                </c:pt>
                <c:pt idx="90" formatCode="0.0">
                  <c:v>174.51923076923069</c:v>
                </c:pt>
                <c:pt idx="91" formatCode="0.0">
                  <c:v>176.50240384615373</c:v>
                </c:pt>
                <c:pt idx="92" formatCode="0.0">
                  <c:v>178.48557692307682</c:v>
                </c:pt>
                <c:pt idx="93" formatCode="0.0">
                  <c:v>180.46874999999989</c:v>
                </c:pt>
                <c:pt idx="94" formatCode="0.0">
                  <c:v>182.45192307692292</c:v>
                </c:pt>
                <c:pt idx="95" formatCode="0.0">
                  <c:v>184.43509615384602</c:v>
                </c:pt>
                <c:pt idx="96" formatCode="0.0">
                  <c:v>186.41826923076906</c:v>
                </c:pt>
                <c:pt idx="97" formatCode="0.0">
                  <c:v>188.40144230769215</c:v>
                </c:pt>
                <c:pt idx="98" formatCode="0.0">
                  <c:v>190.38461538461524</c:v>
                </c:pt>
                <c:pt idx="99" formatCode="0.0">
                  <c:v>192.36778846153828</c:v>
                </c:pt>
                <c:pt idx="100" formatCode="0.0">
                  <c:v>194.35096153846135</c:v>
                </c:pt>
                <c:pt idx="101" formatCode="0.0">
                  <c:v>196.33413461538441</c:v>
                </c:pt>
                <c:pt idx="102" formatCode="0.0">
                  <c:v>198.31730769230748</c:v>
                </c:pt>
                <c:pt idx="103" formatCode="0.0">
                  <c:v>200.30048076923057</c:v>
                </c:pt>
                <c:pt idx="104" formatCode="0.0">
                  <c:v>202.28365384615364</c:v>
                </c:pt>
                <c:pt idx="105" formatCode="0.0">
                  <c:v>204.26682692307671</c:v>
                </c:pt>
                <c:pt idx="106" formatCode="0.0">
                  <c:v>206.24999999999977</c:v>
                </c:pt>
                <c:pt idx="107" formatCode="0.0">
                  <c:v>206.74999999999977</c:v>
                </c:pt>
              </c:numCache>
            </c:numRef>
          </c:xVal>
          <c:yVal>
            <c:numRef>
              <c:f>Start_up!$O$8:$O$115</c:f>
              <c:numCache>
                <c:formatCode>General</c:formatCode>
                <c:ptCount val="108"/>
                <c:pt idx="0">
                  <c:v>0</c:v>
                </c:pt>
                <c:pt idx="1">
                  <c:v>0</c:v>
                </c:pt>
                <c:pt idx="2">
                  <c:v>11.440000000000001</c:v>
                </c:pt>
                <c:pt idx="3">
                  <c:v>11.330000000000002</c:v>
                </c:pt>
                <c:pt idx="4">
                  <c:v>11.22</c:v>
                </c:pt>
                <c:pt idx="5">
                  <c:v>11.110000000000001</c:v>
                </c:pt>
                <c:pt idx="6">
                  <c:v>11</c:v>
                </c:pt>
                <c:pt idx="7">
                  <c:v>10.89</c:v>
                </c:pt>
                <c:pt idx="8">
                  <c:v>10.78</c:v>
                </c:pt>
                <c:pt idx="9">
                  <c:v>10.67</c:v>
                </c:pt>
                <c:pt idx="10">
                  <c:v>10.56</c:v>
                </c:pt>
                <c:pt idx="11">
                  <c:v>10.450000000000001</c:v>
                </c:pt>
                <c:pt idx="12">
                  <c:v>10.34</c:v>
                </c:pt>
                <c:pt idx="13">
                  <c:v>10.23</c:v>
                </c:pt>
                <c:pt idx="14">
                  <c:v>10.119999999999999</c:v>
                </c:pt>
                <c:pt idx="15">
                  <c:v>10.01</c:v>
                </c:pt>
                <c:pt idx="16">
                  <c:v>9.9</c:v>
                </c:pt>
                <c:pt idx="17">
                  <c:v>9.7900000000000009</c:v>
                </c:pt>
                <c:pt idx="18">
                  <c:v>9.68</c:v>
                </c:pt>
                <c:pt idx="19">
                  <c:v>9.57</c:v>
                </c:pt>
                <c:pt idx="20">
                  <c:v>9.4600000000000009</c:v>
                </c:pt>
                <c:pt idx="21">
                  <c:v>9.35</c:v>
                </c:pt>
                <c:pt idx="22">
                  <c:v>9.24</c:v>
                </c:pt>
                <c:pt idx="23">
                  <c:v>9.129999999999999</c:v>
                </c:pt>
                <c:pt idx="24">
                  <c:v>9.0200000000000014</c:v>
                </c:pt>
                <c:pt idx="25">
                  <c:v>8.9100000000000019</c:v>
                </c:pt>
                <c:pt idx="26">
                  <c:v>8.8000000000000007</c:v>
                </c:pt>
                <c:pt idx="27">
                  <c:v>8.69</c:v>
                </c:pt>
                <c:pt idx="28">
                  <c:v>8.58</c:v>
                </c:pt>
                <c:pt idx="29">
                  <c:v>8.4700000000000006</c:v>
                </c:pt>
                <c:pt idx="30">
                  <c:v>8.36</c:v>
                </c:pt>
                <c:pt idx="31">
                  <c:v>8.25</c:v>
                </c:pt>
                <c:pt idx="32">
                  <c:v>8.14</c:v>
                </c:pt>
                <c:pt idx="33">
                  <c:v>8.0300000000000011</c:v>
                </c:pt>
                <c:pt idx="34">
                  <c:v>7.92</c:v>
                </c:pt>
                <c:pt idx="35">
                  <c:v>7.8100000000000005</c:v>
                </c:pt>
                <c:pt idx="36">
                  <c:v>7.6999999999999993</c:v>
                </c:pt>
                <c:pt idx="37">
                  <c:v>7.5900000000000007</c:v>
                </c:pt>
                <c:pt idx="38">
                  <c:v>7.48</c:v>
                </c:pt>
                <c:pt idx="39">
                  <c:v>7.37</c:v>
                </c:pt>
                <c:pt idx="40">
                  <c:v>7.2600000000000007</c:v>
                </c:pt>
                <c:pt idx="41">
                  <c:v>7.15</c:v>
                </c:pt>
                <c:pt idx="42">
                  <c:v>7.04</c:v>
                </c:pt>
                <c:pt idx="43">
                  <c:v>6.93</c:v>
                </c:pt>
                <c:pt idx="44">
                  <c:v>6.82</c:v>
                </c:pt>
                <c:pt idx="45">
                  <c:v>6.7100000000000009</c:v>
                </c:pt>
                <c:pt idx="46">
                  <c:v>6.6</c:v>
                </c:pt>
                <c:pt idx="47">
                  <c:v>6.49</c:v>
                </c:pt>
                <c:pt idx="48">
                  <c:v>6.3800000000000008</c:v>
                </c:pt>
                <c:pt idx="49">
                  <c:v>6.2700000000000005</c:v>
                </c:pt>
                <c:pt idx="50">
                  <c:v>6.1599999999999993</c:v>
                </c:pt>
                <c:pt idx="51">
                  <c:v>6.0500000000000007</c:v>
                </c:pt>
                <c:pt idx="52">
                  <c:v>5.94</c:v>
                </c:pt>
                <c:pt idx="53">
                  <c:v>5.83</c:v>
                </c:pt>
                <c:pt idx="54">
                  <c:v>5.7200000000000006</c:v>
                </c:pt>
                <c:pt idx="55">
                  <c:v>5.6100000000000012</c:v>
                </c:pt>
                <c:pt idx="56">
                  <c:v>5.5</c:v>
                </c:pt>
                <c:pt idx="57">
                  <c:v>5.39</c:v>
                </c:pt>
                <c:pt idx="58">
                  <c:v>5.2800000000000011</c:v>
                </c:pt>
                <c:pt idx="59">
                  <c:v>5.17</c:v>
                </c:pt>
                <c:pt idx="60">
                  <c:v>5.0599999999999996</c:v>
                </c:pt>
                <c:pt idx="61">
                  <c:v>4.95</c:v>
                </c:pt>
                <c:pt idx="62">
                  <c:v>4.8400000000000007</c:v>
                </c:pt>
                <c:pt idx="63">
                  <c:v>4.7299999999999995</c:v>
                </c:pt>
                <c:pt idx="64">
                  <c:v>4.62</c:v>
                </c:pt>
                <c:pt idx="65">
                  <c:v>4.5100000000000007</c:v>
                </c:pt>
                <c:pt idx="66">
                  <c:v>4.3999999999999995</c:v>
                </c:pt>
                <c:pt idx="67">
                  <c:v>4.29</c:v>
                </c:pt>
                <c:pt idx="68">
                  <c:v>4.1800000000000006</c:v>
                </c:pt>
                <c:pt idx="69">
                  <c:v>4.07</c:v>
                </c:pt>
                <c:pt idx="70">
                  <c:v>3.96</c:v>
                </c:pt>
                <c:pt idx="71">
                  <c:v>3.850000000000001</c:v>
                </c:pt>
                <c:pt idx="72">
                  <c:v>3.7399999999999998</c:v>
                </c:pt>
                <c:pt idx="73">
                  <c:v>3.63</c:v>
                </c:pt>
                <c:pt idx="74">
                  <c:v>3.5200000000000005</c:v>
                </c:pt>
                <c:pt idx="75">
                  <c:v>3.4100000000000006</c:v>
                </c:pt>
                <c:pt idx="76">
                  <c:v>3.2999999999999994</c:v>
                </c:pt>
                <c:pt idx="77">
                  <c:v>3.1900000000000004</c:v>
                </c:pt>
                <c:pt idx="78">
                  <c:v>3.08</c:v>
                </c:pt>
                <c:pt idx="79">
                  <c:v>2.9699999999999993</c:v>
                </c:pt>
                <c:pt idx="80">
                  <c:v>2.8600000000000003</c:v>
                </c:pt>
                <c:pt idx="81">
                  <c:v>2.7500000000000009</c:v>
                </c:pt>
                <c:pt idx="82">
                  <c:v>2.64</c:v>
                </c:pt>
                <c:pt idx="83">
                  <c:v>2.5300000000000007</c:v>
                </c:pt>
                <c:pt idx="84">
                  <c:v>2.42</c:v>
                </c:pt>
                <c:pt idx="85">
                  <c:v>2.3099999999999987</c:v>
                </c:pt>
                <c:pt idx="86">
                  <c:v>2.1999999999999997</c:v>
                </c:pt>
                <c:pt idx="87">
                  <c:v>2.0900000000000003</c:v>
                </c:pt>
                <c:pt idx="88">
                  <c:v>1.9800000000000013</c:v>
                </c:pt>
                <c:pt idx="89">
                  <c:v>1.8700000000000003</c:v>
                </c:pt>
                <c:pt idx="90">
                  <c:v>1.7599999999999993</c:v>
                </c:pt>
                <c:pt idx="91">
                  <c:v>1.6500000000000001</c:v>
                </c:pt>
                <c:pt idx="92">
                  <c:v>1.5399999999999991</c:v>
                </c:pt>
                <c:pt idx="93">
                  <c:v>1.4300000000000002</c:v>
                </c:pt>
                <c:pt idx="94">
                  <c:v>1.320000000000001</c:v>
                </c:pt>
                <c:pt idx="95">
                  <c:v>1.21</c:v>
                </c:pt>
                <c:pt idx="96">
                  <c:v>1.1000000000000008</c:v>
                </c:pt>
                <c:pt idx="97">
                  <c:v>0.98999999999999977</c:v>
                </c:pt>
                <c:pt idx="98">
                  <c:v>0.87999999999999878</c:v>
                </c:pt>
                <c:pt idx="99">
                  <c:v>0.76999999999999957</c:v>
                </c:pt>
                <c:pt idx="100">
                  <c:v>0.66000000000000048</c:v>
                </c:pt>
                <c:pt idx="101">
                  <c:v>0.55000000000000127</c:v>
                </c:pt>
                <c:pt idx="102">
                  <c:v>0.44000000000000028</c:v>
                </c:pt>
                <c:pt idx="103">
                  <c:v>0.32999999999999929</c:v>
                </c:pt>
                <c:pt idx="104">
                  <c:v>0.22000000000000014</c:v>
                </c:pt>
                <c:pt idx="105">
                  <c:v>0.10999999999999915</c:v>
                </c:pt>
                <c:pt idx="106">
                  <c:v>0</c:v>
                </c:pt>
                <c:pt idx="107">
                  <c:v>0</c:v>
                </c:pt>
              </c:numCache>
            </c:numRef>
          </c:yVal>
          <c:smooth val="0"/>
          <c:extLst>
            <c:ext xmlns:c16="http://schemas.microsoft.com/office/drawing/2014/chart" uri="{C3380CC4-5D6E-409C-BE32-E72D297353CC}">
              <c16:uniqueId val="{00000000-3512-49EB-BF41-250B7D5CF4DC}"/>
            </c:ext>
          </c:extLst>
        </c:ser>
        <c:dLbls>
          <c:showLegendKey val="0"/>
          <c:showVal val="0"/>
          <c:showCatName val="0"/>
          <c:showSerName val="0"/>
          <c:showPercent val="0"/>
          <c:showBubbleSize val="0"/>
        </c:dLbls>
        <c:axId val="340407808"/>
        <c:axId val="340409728"/>
      </c:scatterChart>
      <c:valAx>
        <c:axId val="340407808"/>
        <c:scaling>
          <c:orientation val="minMax"/>
          <c:min val="-1"/>
        </c:scaling>
        <c:delete val="0"/>
        <c:axPos val="b"/>
        <c:minorGridlines/>
        <c:title>
          <c:tx>
            <c:rich>
              <a:bodyPr/>
              <a:lstStyle/>
              <a:p>
                <a:pPr>
                  <a:defRPr/>
                </a:pPr>
                <a:r>
                  <a:rPr lang="en-US"/>
                  <a:t>Time (ms)</a:t>
                </a:r>
              </a:p>
            </c:rich>
          </c:tx>
          <c:layout>
            <c:manualLayout>
              <c:xMode val="edge"/>
              <c:yMode val="edge"/>
              <c:x val="0.44799096768442925"/>
              <c:y val="0.90583847854517363"/>
            </c:manualLayout>
          </c:layout>
          <c:overlay val="0"/>
        </c:title>
        <c:numFmt formatCode="0.0" sourceLinked="1"/>
        <c:majorTickMark val="out"/>
        <c:minorTickMark val="none"/>
        <c:tickLblPos val="nextTo"/>
        <c:txPr>
          <a:bodyPr/>
          <a:lstStyle/>
          <a:p>
            <a:pPr>
              <a:defRPr b="1"/>
            </a:pPr>
            <a:endParaRPr lang="en-US"/>
          </a:p>
        </c:txPr>
        <c:crossAx val="340409728"/>
        <c:crosses val="autoZero"/>
        <c:crossBetween val="midCat"/>
      </c:valAx>
      <c:valAx>
        <c:axId val="340409728"/>
        <c:scaling>
          <c:orientation val="minMax"/>
          <c:min val="0"/>
        </c:scaling>
        <c:delete val="0"/>
        <c:axPos val="l"/>
        <c:majorGridlines/>
        <c:minorGridlines/>
        <c:title>
          <c:tx>
            <c:rich>
              <a:bodyPr rot="-5400000" vert="horz"/>
              <a:lstStyle/>
              <a:p>
                <a:pPr>
                  <a:defRPr/>
                </a:pPr>
                <a:r>
                  <a:rPr lang="en-US"/>
                  <a:t>FET Power (W)</a:t>
                </a:r>
              </a:p>
            </c:rich>
          </c:tx>
          <c:layout>
            <c:manualLayout>
              <c:xMode val="edge"/>
              <c:yMode val="edge"/>
              <c:x val="1.2836103229293341E-2"/>
              <c:y val="0.25775146359374557"/>
            </c:manualLayout>
          </c:layout>
          <c:overlay val="0"/>
        </c:title>
        <c:numFmt formatCode="General" sourceLinked="1"/>
        <c:majorTickMark val="out"/>
        <c:minorTickMark val="none"/>
        <c:tickLblPos val="nextTo"/>
        <c:txPr>
          <a:bodyPr/>
          <a:lstStyle/>
          <a:p>
            <a:pPr>
              <a:defRPr b="1"/>
            </a:pPr>
            <a:endParaRPr lang="en-US"/>
          </a:p>
        </c:txPr>
        <c:crossAx val="340407808"/>
        <c:crossesAt val="-1"/>
        <c:crossBetween val="midCat"/>
      </c:valAx>
    </c:plotArea>
    <c:legend>
      <c:legendPos val="r"/>
      <c:layout>
        <c:manualLayout>
          <c:xMode val="edge"/>
          <c:yMode val="edge"/>
          <c:x val="0.58896948940894378"/>
          <c:y val="0.19807068791193755"/>
          <c:w val="0.39515213037394709"/>
          <c:h val="0.10848830734152082"/>
        </c:manualLayout>
      </c:layout>
      <c:overlay val="0"/>
      <c:spPr>
        <a:solidFill>
          <a:schemeClr val="bg1"/>
        </a:solidFill>
        <a:ln>
          <a:solidFill>
            <a:schemeClr val="tx1"/>
          </a:solidFill>
        </a:ln>
      </c:sp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Load and FET</a:t>
            </a:r>
            <a:r>
              <a:rPr lang="en-US" baseline="0"/>
              <a:t> current vs Vout</a:t>
            </a:r>
            <a:endParaRPr lang="en-US"/>
          </a:p>
        </c:rich>
      </c:tx>
      <c:overlay val="1"/>
    </c:title>
    <c:autoTitleDeleted val="0"/>
    <c:plotArea>
      <c:layout>
        <c:manualLayout>
          <c:layoutTarget val="inner"/>
          <c:xMode val="edge"/>
          <c:yMode val="edge"/>
          <c:x val="0.20280211116986058"/>
          <c:y val="0.14177960397727438"/>
          <c:w val="0.69967132057676096"/>
          <c:h val="0.7119118368882501"/>
        </c:manualLayout>
      </c:layout>
      <c:scatterChart>
        <c:scatterStyle val="smoothMarker"/>
        <c:varyColors val="0"/>
        <c:ser>
          <c:idx val="0"/>
          <c:order val="0"/>
          <c:tx>
            <c:strRef>
              <c:f>Start_up!$C$7</c:f>
              <c:strCache>
                <c:ptCount val="1"/>
                <c:pt idx="0">
                  <c:v>ILOAD</c:v>
                </c:pt>
              </c:strCache>
            </c:strRef>
          </c:tx>
          <c:marker>
            <c:symbol val="none"/>
          </c:marker>
          <c:xVal>
            <c:numRef>
              <c:f>Start_up!$B$10:$B$111</c:f>
              <c:numCache>
                <c:formatCode>0.00</c:formatCode>
                <c:ptCount val="102"/>
                <c:pt idx="0">
                  <c:v>0</c:v>
                </c:pt>
                <c:pt idx="1">
                  <c:v>0.21153846153846156</c:v>
                </c:pt>
                <c:pt idx="2">
                  <c:v>0.42307692307692313</c:v>
                </c:pt>
                <c:pt idx="3">
                  <c:v>0.63461538461538469</c:v>
                </c:pt>
                <c:pt idx="4">
                  <c:v>0.84615384615384626</c:v>
                </c:pt>
                <c:pt idx="5">
                  <c:v>1.0576923076923077</c:v>
                </c:pt>
                <c:pt idx="6">
                  <c:v>1.2692307692307694</c:v>
                </c:pt>
                <c:pt idx="7">
                  <c:v>1.4807692307692306</c:v>
                </c:pt>
                <c:pt idx="8">
                  <c:v>1.6923076923076925</c:v>
                </c:pt>
                <c:pt idx="9">
                  <c:v>1.9038461538461537</c:v>
                </c:pt>
                <c:pt idx="10">
                  <c:v>2.1153846153846154</c:v>
                </c:pt>
                <c:pt idx="11">
                  <c:v>2.3269230769230771</c:v>
                </c:pt>
                <c:pt idx="12">
                  <c:v>2.5384615384615388</c:v>
                </c:pt>
                <c:pt idx="13">
                  <c:v>2.75</c:v>
                </c:pt>
                <c:pt idx="14">
                  <c:v>2.9615384615384612</c:v>
                </c:pt>
                <c:pt idx="15">
                  <c:v>3.1730769230769229</c:v>
                </c:pt>
                <c:pt idx="16">
                  <c:v>3.384615384615385</c:v>
                </c:pt>
                <c:pt idx="17">
                  <c:v>3.5961538461538463</c:v>
                </c:pt>
                <c:pt idx="18">
                  <c:v>3.8076923076923075</c:v>
                </c:pt>
                <c:pt idx="19">
                  <c:v>4.0192307692307692</c:v>
                </c:pt>
                <c:pt idx="20">
                  <c:v>4.2307692307692308</c:v>
                </c:pt>
                <c:pt idx="21">
                  <c:v>4.4423076923076925</c:v>
                </c:pt>
                <c:pt idx="22">
                  <c:v>4.6538461538461542</c:v>
                </c:pt>
                <c:pt idx="23">
                  <c:v>4.865384615384615</c:v>
                </c:pt>
                <c:pt idx="24">
                  <c:v>5.0769230769230775</c:v>
                </c:pt>
                <c:pt idx="25">
                  <c:v>5.2884615384615383</c:v>
                </c:pt>
                <c:pt idx="26">
                  <c:v>5.5</c:v>
                </c:pt>
                <c:pt idx="27">
                  <c:v>5.7115384615384617</c:v>
                </c:pt>
                <c:pt idx="28">
                  <c:v>5.9230769230769225</c:v>
                </c:pt>
                <c:pt idx="29">
                  <c:v>6.134615384615385</c:v>
                </c:pt>
                <c:pt idx="30">
                  <c:v>6.3461538461538458</c:v>
                </c:pt>
                <c:pt idx="31">
                  <c:v>6.5576923076923075</c:v>
                </c:pt>
                <c:pt idx="32">
                  <c:v>6.7692307692307701</c:v>
                </c:pt>
                <c:pt idx="33">
                  <c:v>6.9807692307692299</c:v>
                </c:pt>
                <c:pt idx="34">
                  <c:v>7.1923076923076925</c:v>
                </c:pt>
                <c:pt idx="35">
                  <c:v>7.4038461538461542</c:v>
                </c:pt>
                <c:pt idx="36">
                  <c:v>7.615384615384615</c:v>
                </c:pt>
                <c:pt idx="37">
                  <c:v>7.8269230769230775</c:v>
                </c:pt>
                <c:pt idx="38">
                  <c:v>8.0384615384615383</c:v>
                </c:pt>
                <c:pt idx="39">
                  <c:v>8.25</c:v>
                </c:pt>
                <c:pt idx="40">
                  <c:v>8.4615384615384617</c:v>
                </c:pt>
                <c:pt idx="41">
                  <c:v>8.6730769230769234</c:v>
                </c:pt>
                <c:pt idx="42">
                  <c:v>8.884615384615385</c:v>
                </c:pt>
                <c:pt idx="43">
                  <c:v>9.0961538461538449</c:v>
                </c:pt>
                <c:pt idx="44">
                  <c:v>9.3076923076923084</c:v>
                </c:pt>
                <c:pt idx="45">
                  <c:v>9.5192307692307701</c:v>
                </c:pt>
                <c:pt idx="46">
                  <c:v>9.7307692307692299</c:v>
                </c:pt>
                <c:pt idx="47">
                  <c:v>9.9423076923076916</c:v>
                </c:pt>
                <c:pt idx="48">
                  <c:v>10.153846153846155</c:v>
                </c:pt>
                <c:pt idx="49">
                  <c:v>10.365384615384615</c:v>
                </c:pt>
                <c:pt idx="50">
                  <c:v>10.576923076923077</c:v>
                </c:pt>
                <c:pt idx="51">
                  <c:v>10.788461538461538</c:v>
                </c:pt>
                <c:pt idx="52">
                  <c:v>11</c:v>
                </c:pt>
                <c:pt idx="53">
                  <c:v>11.21153846153846</c:v>
                </c:pt>
                <c:pt idx="54">
                  <c:v>11.423076923076923</c:v>
                </c:pt>
                <c:pt idx="55">
                  <c:v>11.634615384615385</c:v>
                </c:pt>
                <c:pt idx="56">
                  <c:v>11.846153846153845</c:v>
                </c:pt>
                <c:pt idx="57">
                  <c:v>12.057692307692308</c:v>
                </c:pt>
                <c:pt idx="58">
                  <c:v>12.26923076923077</c:v>
                </c:pt>
                <c:pt idx="59">
                  <c:v>12.48076923076923</c:v>
                </c:pt>
                <c:pt idx="60">
                  <c:v>12.692307692307692</c:v>
                </c:pt>
                <c:pt idx="61">
                  <c:v>12.903846153846155</c:v>
                </c:pt>
                <c:pt idx="62">
                  <c:v>13.115384615384615</c:v>
                </c:pt>
                <c:pt idx="63">
                  <c:v>13.326923076923077</c:v>
                </c:pt>
                <c:pt idx="64">
                  <c:v>13.53846153846154</c:v>
                </c:pt>
                <c:pt idx="65">
                  <c:v>13.75</c:v>
                </c:pt>
                <c:pt idx="66">
                  <c:v>13.96153846153846</c:v>
                </c:pt>
                <c:pt idx="67">
                  <c:v>14.173076923076923</c:v>
                </c:pt>
                <c:pt idx="68">
                  <c:v>14.384615384615385</c:v>
                </c:pt>
                <c:pt idx="69">
                  <c:v>14.596153846153845</c:v>
                </c:pt>
                <c:pt idx="70">
                  <c:v>14.807692307692308</c:v>
                </c:pt>
                <c:pt idx="71">
                  <c:v>15.01923076923077</c:v>
                </c:pt>
                <c:pt idx="72">
                  <c:v>15.23076923076923</c:v>
                </c:pt>
                <c:pt idx="73">
                  <c:v>15.442307692307692</c:v>
                </c:pt>
                <c:pt idx="74">
                  <c:v>15.653846153846155</c:v>
                </c:pt>
                <c:pt idx="75">
                  <c:v>15.865384615384615</c:v>
                </c:pt>
                <c:pt idx="76">
                  <c:v>16.076923076923077</c:v>
                </c:pt>
                <c:pt idx="77">
                  <c:v>16.28846153846154</c:v>
                </c:pt>
                <c:pt idx="78">
                  <c:v>16.5</c:v>
                </c:pt>
                <c:pt idx="79">
                  <c:v>16.71153846153846</c:v>
                </c:pt>
                <c:pt idx="80">
                  <c:v>16.923076923076923</c:v>
                </c:pt>
                <c:pt idx="81">
                  <c:v>17.134615384615383</c:v>
                </c:pt>
                <c:pt idx="82">
                  <c:v>17.346153846153847</c:v>
                </c:pt>
                <c:pt idx="83">
                  <c:v>17.55769230769231</c:v>
                </c:pt>
                <c:pt idx="84">
                  <c:v>17.76923076923077</c:v>
                </c:pt>
                <c:pt idx="85">
                  <c:v>17.98076923076923</c:v>
                </c:pt>
                <c:pt idx="86">
                  <c:v>18.19230769230769</c:v>
                </c:pt>
                <c:pt idx="87">
                  <c:v>18.403846153846153</c:v>
                </c:pt>
                <c:pt idx="88">
                  <c:v>18.615384615384617</c:v>
                </c:pt>
                <c:pt idx="89">
                  <c:v>18.826923076923077</c:v>
                </c:pt>
                <c:pt idx="90">
                  <c:v>19.03846153846154</c:v>
                </c:pt>
                <c:pt idx="91">
                  <c:v>19.25</c:v>
                </c:pt>
                <c:pt idx="92">
                  <c:v>19.46153846153846</c:v>
                </c:pt>
                <c:pt idx="93">
                  <c:v>19.673076923076923</c:v>
                </c:pt>
                <c:pt idx="94">
                  <c:v>19.884615384615383</c:v>
                </c:pt>
                <c:pt idx="95">
                  <c:v>20.096153846153847</c:v>
                </c:pt>
                <c:pt idx="96">
                  <c:v>20.30769230769231</c:v>
                </c:pt>
                <c:pt idx="97">
                  <c:v>20.51923076923077</c:v>
                </c:pt>
                <c:pt idx="98">
                  <c:v>20.73076923076923</c:v>
                </c:pt>
                <c:pt idx="99">
                  <c:v>20.94230769230769</c:v>
                </c:pt>
                <c:pt idx="100">
                  <c:v>21.153846153846153</c:v>
                </c:pt>
                <c:pt idx="101">
                  <c:v>21.365384615384617</c:v>
                </c:pt>
              </c:numCache>
            </c:numRef>
          </c:xVal>
          <c:yVal>
            <c:numRef>
              <c:f>Start_up!$C$10:$C$111</c:f>
              <c:numCache>
                <c:formatCode>0.000</c:formatCode>
                <c:ptCount val="102"/>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numCache>
            </c:numRef>
          </c:yVal>
          <c:smooth val="1"/>
          <c:extLst>
            <c:ext xmlns:c16="http://schemas.microsoft.com/office/drawing/2014/chart" uri="{C3380CC4-5D6E-409C-BE32-E72D297353CC}">
              <c16:uniqueId val="{00000000-B88A-459A-93CC-BECDAEDC7408}"/>
            </c:ext>
          </c:extLst>
        </c:ser>
        <c:ser>
          <c:idx val="1"/>
          <c:order val="1"/>
          <c:tx>
            <c:strRef>
              <c:f>Start_up!$G$7</c:f>
              <c:strCache>
                <c:ptCount val="1"/>
                <c:pt idx="0">
                  <c:v>IFET</c:v>
                </c:pt>
              </c:strCache>
            </c:strRef>
          </c:tx>
          <c:marker>
            <c:symbol val="none"/>
          </c:marker>
          <c:xVal>
            <c:numRef>
              <c:f>Start_up!$B$10:$B$111</c:f>
              <c:numCache>
                <c:formatCode>0.00</c:formatCode>
                <c:ptCount val="102"/>
                <c:pt idx="0">
                  <c:v>0</c:v>
                </c:pt>
                <c:pt idx="1">
                  <c:v>0.21153846153846156</c:v>
                </c:pt>
                <c:pt idx="2">
                  <c:v>0.42307692307692313</c:v>
                </c:pt>
                <c:pt idx="3">
                  <c:v>0.63461538461538469</c:v>
                </c:pt>
                <c:pt idx="4">
                  <c:v>0.84615384615384626</c:v>
                </c:pt>
                <c:pt idx="5">
                  <c:v>1.0576923076923077</c:v>
                </c:pt>
                <c:pt idx="6">
                  <c:v>1.2692307692307694</c:v>
                </c:pt>
                <c:pt idx="7">
                  <c:v>1.4807692307692306</c:v>
                </c:pt>
                <c:pt idx="8">
                  <c:v>1.6923076923076925</c:v>
                </c:pt>
                <c:pt idx="9">
                  <c:v>1.9038461538461537</c:v>
                </c:pt>
                <c:pt idx="10">
                  <c:v>2.1153846153846154</c:v>
                </c:pt>
                <c:pt idx="11">
                  <c:v>2.3269230769230771</c:v>
                </c:pt>
                <c:pt idx="12">
                  <c:v>2.5384615384615388</c:v>
                </c:pt>
                <c:pt idx="13">
                  <c:v>2.75</c:v>
                </c:pt>
                <c:pt idx="14">
                  <c:v>2.9615384615384612</c:v>
                </c:pt>
                <c:pt idx="15">
                  <c:v>3.1730769230769229</c:v>
                </c:pt>
                <c:pt idx="16">
                  <c:v>3.384615384615385</c:v>
                </c:pt>
                <c:pt idx="17">
                  <c:v>3.5961538461538463</c:v>
                </c:pt>
                <c:pt idx="18">
                  <c:v>3.8076923076923075</c:v>
                </c:pt>
                <c:pt idx="19">
                  <c:v>4.0192307692307692</c:v>
                </c:pt>
                <c:pt idx="20">
                  <c:v>4.2307692307692308</c:v>
                </c:pt>
                <c:pt idx="21">
                  <c:v>4.4423076923076925</c:v>
                </c:pt>
                <c:pt idx="22">
                  <c:v>4.6538461538461542</c:v>
                </c:pt>
                <c:pt idx="23">
                  <c:v>4.865384615384615</c:v>
                </c:pt>
                <c:pt idx="24">
                  <c:v>5.0769230769230775</c:v>
                </c:pt>
                <c:pt idx="25">
                  <c:v>5.2884615384615383</c:v>
                </c:pt>
                <c:pt idx="26">
                  <c:v>5.5</c:v>
                </c:pt>
                <c:pt idx="27">
                  <c:v>5.7115384615384617</c:v>
                </c:pt>
                <c:pt idx="28">
                  <c:v>5.9230769230769225</c:v>
                </c:pt>
                <c:pt idx="29">
                  <c:v>6.134615384615385</c:v>
                </c:pt>
                <c:pt idx="30">
                  <c:v>6.3461538461538458</c:v>
                </c:pt>
                <c:pt idx="31">
                  <c:v>6.5576923076923075</c:v>
                </c:pt>
                <c:pt idx="32">
                  <c:v>6.7692307692307701</c:v>
                </c:pt>
                <c:pt idx="33">
                  <c:v>6.9807692307692299</c:v>
                </c:pt>
                <c:pt idx="34">
                  <c:v>7.1923076923076925</c:v>
                </c:pt>
                <c:pt idx="35">
                  <c:v>7.4038461538461542</c:v>
                </c:pt>
                <c:pt idx="36">
                  <c:v>7.615384615384615</c:v>
                </c:pt>
                <c:pt idx="37">
                  <c:v>7.8269230769230775</c:v>
                </c:pt>
                <c:pt idx="38">
                  <c:v>8.0384615384615383</c:v>
                </c:pt>
                <c:pt idx="39">
                  <c:v>8.25</c:v>
                </c:pt>
                <c:pt idx="40">
                  <c:v>8.4615384615384617</c:v>
                </c:pt>
                <c:pt idx="41">
                  <c:v>8.6730769230769234</c:v>
                </c:pt>
                <c:pt idx="42">
                  <c:v>8.884615384615385</c:v>
                </c:pt>
                <c:pt idx="43">
                  <c:v>9.0961538461538449</c:v>
                </c:pt>
                <c:pt idx="44">
                  <c:v>9.3076923076923084</c:v>
                </c:pt>
                <c:pt idx="45">
                  <c:v>9.5192307692307701</c:v>
                </c:pt>
                <c:pt idx="46">
                  <c:v>9.7307692307692299</c:v>
                </c:pt>
                <c:pt idx="47">
                  <c:v>9.9423076923076916</c:v>
                </c:pt>
                <c:pt idx="48">
                  <c:v>10.153846153846155</c:v>
                </c:pt>
                <c:pt idx="49">
                  <c:v>10.365384615384615</c:v>
                </c:pt>
                <c:pt idx="50">
                  <c:v>10.576923076923077</c:v>
                </c:pt>
                <c:pt idx="51">
                  <c:v>10.788461538461538</c:v>
                </c:pt>
                <c:pt idx="52">
                  <c:v>11</c:v>
                </c:pt>
                <c:pt idx="53">
                  <c:v>11.21153846153846</c:v>
                </c:pt>
                <c:pt idx="54">
                  <c:v>11.423076923076923</c:v>
                </c:pt>
                <c:pt idx="55">
                  <c:v>11.634615384615385</c:v>
                </c:pt>
                <c:pt idx="56">
                  <c:v>11.846153846153845</c:v>
                </c:pt>
                <c:pt idx="57">
                  <c:v>12.057692307692308</c:v>
                </c:pt>
                <c:pt idx="58">
                  <c:v>12.26923076923077</c:v>
                </c:pt>
                <c:pt idx="59">
                  <c:v>12.48076923076923</c:v>
                </c:pt>
                <c:pt idx="60">
                  <c:v>12.692307692307692</c:v>
                </c:pt>
                <c:pt idx="61">
                  <c:v>12.903846153846155</c:v>
                </c:pt>
                <c:pt idx="62">
                  <c:v>13.115384615384615</c:v>
                </c:pt>
                <c:pt idx="63">
                  <c:v>13.326923076923077</c:v>
                </c:pt>
                <c:pt idx="64">
                  <c:v>13.53846153846154</c:v>
                </c:pt>
                <c:pt idx="65">
                  <c:v>13.75</c:v>
                </c:pt>
                <c:pt idx="66">
                  <c:v>13.96153846153846</c:v>
                </c:pt>
                <c:pt idx="67">
                  <c:v>14.173076923076923</c:v>
                </c:pt>
                <c:pt idx="68">
                  <c:v>14.384615384615385</c:v>
                </c:pt>
                <c:pt idx="69">
                  <c:v>14.596153846153845</c:v>
                </c:pt>
                <c:pt idx="70">
                  <c:v>14.807692307692308</c:v>
                </c:pt>
                <c:pt idx="71">
                  <c:v>15.01923076923077</c:v>
                </c:pt>
                <c:pt idx="72">
                  <c:v>15.23076923076923</c:v>
                </c:pt>
                <c:pt idx="73">
                  <c:v>15.442307692307692</c:v>
                </c:pt>
                <c:pt idx="74">
                  <c:v>15.653846153846155</c:v>
                </c:pt>
                <c:pt idx="75">
                  <c:v>15.865384615384615</c:v>
                </c:pt>
                <c:pt idx="76">
                  <c:v>16.076923076923077</c:v>
                </c:pt>
                <c:pt idx="77">
                  <c:v>16.28846153846154</c:v>
                </c:pt>
                <c:pt idx="78">
                  <c:v>16.5</c:v>
                </c:pt>
                <c:pt idx="79">
                  <c:v>16.71153846153846</c:v>
                </c:pt>
                <c:pt idx="80">
                  <c:v>16.923076923076923</c:v>
                </c:pt>
                <c:pt idx="81">
                  <c:v>17.134615384615383</c:v>
                </c:pt>
                <c:pt idx="82">
                  <c:v>17.346153846153847</c:v>
                </c:pt>
                <c:pt idx="83">
                  <c:v>17.55769230769231</c:v>
                </c:pt>
                <c:pt idx="84">
                  <c:v>17.76923076923077</c:v>
                </c:pt>
                <c:pt idx="85">
                  <c:v>17.98076923076923</c:v>
                </c:pt>
                <c:pt idx="86">
                  <c:v>18.19230769230769</c:v>
                </c:pt>
                <c:pt idx="87">
                  <c:v>18.403846153846153</c:v>
                </c:pt>
                <c:pt idx="88">
                  <c:v>18.615384615384617</c:v>
                </c:pt>
                <c:pt idx="89">
                  <c:v>18.826923076923077</c:v>
                </c:pt>
                <c:pt idx="90">
                  <c:v>19.03846153846154</c:v>
                </c:pt>
                <c:pt idx="91">
                  <c:v>19.25</c:v>
                </c:pt>
                <c:pt idx="92">
                  <c:v>19.46153846153846</c:v>
                </c:pt>
                <c:pt idx="93">
                  <c:v>19.673076923076923</c:v>
                </c:pt>
                <c:pt idx="94">
                  <c:v>19.884615384615383</c:v>
                </c:pt>
                <c:pt idx="95">
                  <c:v>20.096153846153847</c:v>
                </c:pt>
                <c:pt idx="96">
                  <c:v>20.30769230769231</c:v>
                </c:pt>
                <c:pt idx="97">
                  <c:v>20.51923076923077</c:v>
                </c:pt>
                <c:pt idx="98">
                  <c:v>20.73076923076923</c:v>
                </c:pt>
                <c:pt idx="99">
                  <c:v>20.94230769230769</c:v>
                </c:pt>
                <c:pt idx="100">
                  <c:v>21.153846153846153</c:v>
                </c:pt>
                <c:pt idx="101">
                  <c:v>21.365384615384617</c:v>
                </c:pt>
              </c:numCache>
            </c:numRef>
          </c:xVal>
          <c:yVal>
            <c:numRef>
              <c:f>Start_up!$G$10:$G$112</c:f>
              <c:numCache>
                <c:formatCode>General</c:formatCode>
                <c:ptCount val="103"/>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pt idx="18">
                  <c:v>0.52</c:v>
                </c:pt>
                <c:pt idx="19">
                  <c:v>0.52</c:v>
                </c:pt>
                <c:pt idx="20">
                  <c:v>0.52</c:v>
                </c:pt>
                <c:pt idx="21">
                  <c:v>0.52</c:v>
                </c:pt>
                <c:pt idx="22">
                  <c:v>0.52</c:v>
                </c:pt>
                <c:pt idx="23">
                  <c:v>0.52</c:v>
                </c:pt>
                <c:pt idx="24">
                  <c:v>0.52</c:v>
                </c:pt>
                <c:pt idx="25">
                  <c:v>0.52</c:v>
                </c:pt>
                <c:pt idx="26">
                  <c:v>0.52</c:v>
                </c:pt>
                <c:pt idx="27">
                  <c:v>0.52</c:v>
                </c:pt>
                <c:pt idx="28">
                  <c:v>0.52</c:v>
                </c:pt>
                <c:pt idx="29">
                  <c:v>0.52</c:v>
                </c:pt>
                <c:pt idx="30">
                  <c:v>0.52</c:v>
                </c:pt>
                <c:pt idx="31">
                  <c:v>0.52</c:v>
                </c:pt>
                <c:pt idx="32">
                  <c:v>0.52</c:v>
                </c:pt>
                <c:pt idx="33">
                  <c:v>0.52</c:v>
                </c:pt>
                <c:pt idx="34">
                  <c:v>0.52</c:v>
                </c:pt>
                <c:pt idx="35">
                  <c:v>0.52</c:v>
                </c:pt>
                <c:pt idx="36">
                  <c:v>0.52</c:v>
                </c:pt>
                <c:pt idx="37">
                  <c:v>0.52</c:v>
                </c:pt>
                <c:pt idx="38">
                  <c:v>0.52</c:v>
                </c:pt>
                <c:pt idx="39">
                  <c:v>0.52</c:v>
                </c:pt>
                <c:pt idx="40">
                  <c:v>0.52</c:v>
                </c:pt>
                <c:pt idx="41">
                  <c:v>0.52</c:v>
                </c:pt>
                <c:pt idx="42">
                  <c:v>0.52</c:v>
                </c:pt>
                <c:pt idx="43">
                  <c:v>0.52</c:v>
                </c:pt>
                <c:pt idx="44">
                  <c:v>0.52</c:v>
                </c:pt>
                <c:pt idx="45">
                  <c:v>0.52</c:v>
                </c:pt>
                <c:pt idx="46">
                  <c:v>0.52</c:v>
                </c:pt>
                <c:pt idx="47">
                  <c:v>0.52</c:v>
                </c:pt>
                <c:pt idx="48">
                  <c:v>0.52</c:v>
                </c:pt>
                <c:pt idx="49">
                  <c:v>0.52</c:v>
                </c:pt>
                <c:pt idx="50">
                  <c:v>0.52</c:v>
                </c:pt>
                <c:pt idx="51">
                  <c:v>0.52</c:v>
                </c:pt>
                <c:pt idx="52">
                  <c:v>0.52</c:v>
                </c:pt>
                <c:pt idx="53">
                  <c:v>0.52</c:v>
                </c:pt>
                <c:pt idx="54">
                  <c:v>0.52</c:v>
                </c:pt>
                <c:pt idx="55">
                  <c:v>0.52</c:v>
                </c:pt>
                <c:pt idx="56">
                  <c:v>0.52</c:v>
                </c:pt>
                <c:pt idx="57">
                  <c:v>0.52</c:v>
                </c:pt>
                <c:pt idx="58">
                  <c:v>0.52</c:v>
                </c:pt>
                <c:pt idx="59">
                  <c:v>0.52</c:v>
                </c:pt>
                <c:pt idx="60">
                  <c:v>0.52</c:v>
                </c:pt>
                <c:pt idx="61">
                  <c:v>0.52</c:v>
                </c:pt>
                <c:pt idx="62">
                  <c:v>0.52</c:v>
                </c:pt>
                <c:pt idx="63">
                  <c:v>0.52</c:v>
                </c:pt>
                <c:pt idx="64">
                  <c:v>0.52</c:v>
                </c:pt>
                <c:pt idx="65">
                  <c:v>0.52</c:v>
                </c:pt>
                <c:pt idx="66">
                  <c:v>0.52</c:v>
                </c:pt>
                <c:pt idx="67">
                  <c:v>0.52</c:v>
                </c:pt>
                <c:pt idx="68">
                  <c:v>0.52</c:v>
                </c:pt>
                <c:pt idx="69">
                  <c:v>0.52</c:v>
                </c:pt>
                <c:pt idx="70">
                  <c:v>0.52</c:v>
                </c:pt>
                <c:pt idx="71">
                  <c:v>0.52</c:v>
                </c:pt>
                <c:pt idx="72">
                  <c:v>0.52</c:v>
                </c:pt>
                <c:pt idx="73">
                  <c:v>0.52</c:v>
                </c:pt>
                <c:pt idx="74">
                  <c:v>0.52</c:v>
                </c:pt>
                <c:pt idx="75">
                  <c:v>0.52</c:v>
                </c:pt>
                <c:pt idx="76">
                  <c:v>0.52</c:v>
                </c:pt>
                <c:pt idx="77">
                  <c:v>0.52</c:v>
                </c:pt>
                <c:pt idx="78">
                  <c:v>0.52</c:v>
                </c:pt>
                <c:pt idx="79">
                  <c:v>0.52</c:v>
                </c:pt>
                <c:pt idx="80">
                  <c:v>0.52</c:v>
                </c:pt>
                <c:pt idx="81">
                  <c:v>0.52</c:v>
                </c:pt>
                <c:pt idx="82">
                  <c:v>0.52</c:v>
                </c:pt>
                <c:pt idx="83">
                  <c:v>0.52</c:v>
                </c:pt>
                <c:pt idx="84">
                  <c:v>0.52</c:v>
                </c:pt>
                <c:pt idx="85">
                  <c:v>0.52</c:v>
                </c:pt>
                <c:pt idx="86">
                  <c:v>0.52</c:v>
                </c:pt>
                <c:pt idx="87">
                  <c:v>0.52</c:v>
                </c:pt>
                <c:pt idx="88">
                  <c:v>0.52</c:v>
                </c:pt>
                <c:pt idx="89">
                  <c:v>0.52</c:v>
                </c:pt>
                <c:pt idx="90">
                  <c:v>0.52</c:v>
                </c:pt>
                <c:pt idx="91">
                  <c:v>0.52</c:v>
                </c:pt>
                <c:pt idx="92">
                  <c:v>0.52</c:v>
                </c:pt>
                <c:pt idx="93">
                  <c:v>0.52</c:v>
                </c:pt>
                <c:pt idx="94">
                  <c:v>0.52</c:v>
                </c:pt>
                <c:pt idx="95">
                  <c:v>0.52</c:v>
                </c:pt>
                <c:pt idx="96">
                  <c:v>0.52</c:v>
                </c:pt>
                <c:pt idx="97">
                  <c:v>0.52</c:v>
                </c:pt>
                <c:pt idx="98">
                  <c:v>0.52</c:v>
                </c:pt>
                <c:pt idx="99">
                  <c:v>0.52</c:v>
                </c:pt>
                <c:pt idx="100">
                  <c:v>0.52</c:v>
                </c:pt>
                <c:pt idx="101">
                  <c:v>0.52</c:v>
                </c:pt>
                <c:pt idx="102">
                  <c:v>0.52</c:v>
                </c:pt>
              </c:numCache>
            </c:numRef>
          </c:yVal>
          <c:smooth val="1"/>
          <c:extLst>
            <c:ext xmlns:c16="http://schemas.microsoft.com/office/drawing/2014/chart" uri="{C3380CC4-5D6E-409C-BE32-E72D297353CC}">
              <c16:uniqueId val="{00000001-B88A-459A-93CC-BECDAEDC7408}"/>
            </c:ext>
          </c:extLst>
        </c:ser>
        <c:dLbls>
          <c:showLegendKey val="0"/>
          <c:showVal val="0"/>
          <c:showCatName val="0"/>
          <c:showSerName val="0"/>
          <c:showPercent val="0"/>
          <c:showBubbleSize val="0"/>
        </c:dLbls>
        <c:axId val="352111616"/>
        <c:axId val="389465216"/>
      </c:scatterChart>
      <c:valAx>
        <c:axId val="352111616"/>
        <c:scaling>
          <c:orientation val="minMax"/>
        </c:scaling>
        <c:delete val="0"/>
        <c:axPos val="b"/>
        <c:title>
          <c:tx>
            <c:rich>
              <a:bodyPr/>
              <a:lstStyle/>
              <a:p>
                <a:pPr>
                  <a:defRPr/>
                </a:pPr>
                <a:r>
                  <a:rPr lang="en-US"/>
                  <a:t>Output</a:t>
                </a:r>
                <a:r>
                  <a:rPr lang="en-US" baseline="0"/>
                  <a:t> Voltage (V)</a:t>
                </a:r>
                <a:endParaRPr lang="en-US"/>
              </a:p>
            </c:rich>
          </c:tx>
          <c:overlay val="0"/>
        </c:title>
        <c:numFmt formatCode="0.00" sourceLinked="1"/>
        <c:majorTickMark val="out"/>
        <c:minorTickMark val="none"/>
        <c:tickLblPos val="nextTo"/>
        <c:crossAx val="389465216"/>
        <c:crosses val="autoZero"/>
        <c:crossBetween val="midCat"/>
      </c:valAx>
      <c:valAx>
        <c:axId val="389465216"/>
        <c:scaling>
          <c:orientation val="minMax"/>
          <c:min val="0"/>
        </c:scaling>
        <c:delete val="0"/>
        <c:axPos val="l"/>
        <c:majorGridlines/>
        <c:title>
          <c:tx>
            <c:rich>
              <a:bodyPr rot="-5400000" vert="horz"/>
              <a:lstStyle/>
              <a:p>
                <a:pPr>
                  <a:defRPr/>
                </a:pPr>
                <a:r>
                  <a:rPr lang="en-US"/>
                  <a:t>Current (A)</a:t>
                </a:r>
              </a:p>
            </c:rich>
          </c:tx>
          <c:overlay val="0"/>
        </c:title>
        <c:numFmt formatCode="0.000" sourceLinked="1"/>
        <c:majorTickMark val="out"/>
        <c:minorTickMark val="none"/>
        <c:tickLblPos val="nextTo"/>
        <c:crossAx val="352111616"/>
        <c:crosses val="autoZero"/>
        <c:crossBetween val="midCat"/>
      </c:valAx>
    </c:plotArea>
    <c:legend>
      <c:legendPos val="r"/>
      <c:layout>
        <c:manualLayout>
          <c:xMode val="edge"/>
          <c:yMode val="edge"/>
          <c:x val="0.34624252358789726"/>
          <c:y val="0.24479126489117176"/>
          <c:w val="0.21462230092985587"/>
          <c:h val="0.16792443955258282"/>
        </c:manualLayout>
      </c:layout>
      <c:overlay val="0"/>
      <c:spPr>
        <a:solidFill>
          <a:sysClr val="window" lastClr="FFFFFF"/>
        </a:solidFill>
        <a:ln>
          <a:solidFill>
            <a:schemeClr val="tx1"/>
          </a:solidFill>
        </a:ln>
      </c:spPr>
      <c:txPr>
        <a:bodyPr/>
        <a:lstStyle/>
        <a:p>
          <a:pPr>
            <a:defRPr>
              <a:ln>
                <a:solidFill>
                  <a:sysClr val="windowText" lastClr="000000"/>
                </a:solidFill>
              </a:ln>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Load and FET</a:t>
            </a:r>
            <a:r>
              <a:rPr lang="en-US" baseline="0"/>
              <a:t> current vs Vout</a:t>
            </a:r>
            <a:endParaRPr lang="en-US"/>
          </a:p>
        </c:rich>
      </c:tx>
      <c:overlay val="1"/>
    </c:title>
    <c:autoTitleDeleted val="0"/>
    <c:plotArea>
      <c:layout>
        <c:manualLayout>
          <c:layoutTarget val="inner"/>
          <c:xMode val="edge"/>
          <c:yMode val="edge"/>
          <c:x val="0.20280211116986058"/>
          <c:y val="0.14177960397727438"/>
          <c:w val="0.69967132057676096"/>
          <c:h val="0.7119118368882501"/>
        </c:manualLayout>
      </c:layout>
      <c:scatterChart>
        <c:scatterStyle val="smoothMarker"/>
        <c:varyColors val="0"/>
        <c:ser>
          <c:idx val="0"/>
          <c:order val="0"/>
          <c:tx>
            <c:strRef>
              <c:f>Start_up!$C$7</c:f>
              <c:strCache>
                <c:ptCount val="1"/>
                <c:pt idx="0">
                  <c:v>ILOAD</c:v>
                </c:pt>
              </c:strCache>
            </c:strRef>
          </c:tx>
          <c:marker>
            <c:symbol val="none"/>
          </c:marker>
          <c:xVal>
            <c:numRef>
              <c:f>Start_up!$B$129:$B$230</c:f>
              <c:numCache>
                <c:formatCode>0.00</c:formatCode>
                <c:ptCount val="102"/>
                <c:pt idx="0">
                  <c:v>0</c:v>
                </c:pt>
                <c:pt idx="1">
                  <c:v>0.21153846153846156</c:v>
                </c:pt>
                <c:pt idx="2">
                  <c:v>0.42307692307692313</c:v>
                </c:pt>
                <c:pt idx="3">
                  <c:v>0.63461538461538469</c:v>
                </c:pt>
                <c:pt idx="4">
                  <c:v>0.84615384615384626</c:v>
                </c:pt>
                <c:pt idx="5">
                  <c:v>1.0576923076923077</c:v>
                </c:pt>
                <c:pt idx="6">
                  <c:v>1.2692307692307694</c:v>
                </c:pt>
                <c:pt idx="7">
                  <c:v>1.4807692307692306</c:v>
                </c:pt>
                <c:pt idx="8">
                  <c:v>1.6923076923076925</c:v>
                </c:pt>
                <c:pt idx="9">
                  <c:v>1.9038461538461537</c:v>
                </c:pt>
                <c:pt idx="10">
                  <c:v>2.1153846153846154</c:v>
                </c:pt>
                <c:pt idx="11">
                  <c:v>2.3269230769230771</c:v>
                </c:pt>
                <c:pt idx="12">
                  <c:v>2.5384615384615388</c:v>
                </c:pt>
                <c:pt idx="13">
                  <c:v>2.75</c:v>
                </c:pt>
                <c:pt idx="14">
                  <c:v>2.9615384615384612</c:v>
                </c:pt>
                <c:pt idx="15">
                  <c:v>3.1730769230769229</c:v>
                </c:pt>
                <c:pt idx="16">
                  <c:v>3.384615384615385</c:v>
                </c:pt>
                <c:pt idx="17">
                  <c:v>3.5961538461538463</c:v>
                </c:pt>
                <c:pt idx="18">
                  <c:v>3.8076923076923075</c:v>
                </c:pt>
                <c:pt idx="19">
                  <c:v>4.0192307692307692</c:v>
                </c:pt>
                <c:pt idx="20">
                  <c:v>4.2307692307692308</c:v>
                </c:pt>
                <c:pt idx="21">
                  <c:v>4.4423076923076925</c:v>
                </c:pt>
                <c:pt idx="22">
                  <c:v>4.6538461538461542</c:v>
                </c:pt>
                <c:pt idx="23">
                  <c:v>4.865384615384615</c:v>
                </c:pt>
                <c:pt idx="24">
                  <c:v>5.0769230769230775</c:v>
                </c:pt>
                <c:pt idx="25">
                  <c:v>5.2884615384615383</c:v>
                </c:pt>
                <c:pt idx="26">
                  <c:v>5.5</c:v>
                </c:pt>
                <c:pt idx="27">
                  <c:v>5.7115384615384617</c:v>
                </c:pt>
                <c:pt idx="28">
                  <c:v>5.9230769230769225</c:v>
                </c:pt>
                <c:pt idx="29">
                  <c:v>6.134615384615385</c:v>
                </c:pt>
                <c:pt idx="30">
                  <c:v>6.3461538461538458</c:v>
                </c:pt>
                <c:pt idx="31">
                  <c:v>6.5576923076923075</c:v>
                </c:pt>
                <c:pt idx="32">
                  <c:v>6.7692307692307701</c:v>
                </c:pt>
                <c:pt idx="33">
                  <c:v>6.9807692307692299</c:v>
                </c:pt>
                <c:pt idx="34">
                  <c:v>7.1923076923076925</c:v>
                </c:pt>
                <c:pt idx="35">
                  <c:v>7.4038461538461542</c:v>
                </c:pt>
                <c:pt idx="36">
                  <c:v>7.615384615384615</c:v>
                </c:pt>
                <c:pt idx="37">
                  <c:v>7.8269230769230775</c:v>
                </c:pt>
                <c:pt idx="38">
                  <c:v>8.0384615384615383</c:v>
                </c:pt>
                <c:pt idx="39">
                  <c:v>8.25</c:v>
                </c:pt>
                <c:pt idx="40">
                  <c:v>8.4615384615384617</c:v>
                </c:pt>
                <c:pt idx="41">
                  <c:v>8.6730769230769234</c:v>
                </c:pt>
                <c:pt idx="42">
                  <c:v>8.884615384615385</c:v>
                </c:pt>
                <c:pt idx="43">
                  <c:v>9.0961538461538449</c:v>
                </c:pt>
                <c:pt idx="44">
                  <c:v>9.3076923076923084</c:v>
                </c:pt>
                <c:pt idx="45">
                  <c:v>9.5192307692307701</c:v>
                </c:pt>
                <c:pt idx="46">
                  <c:v>9.7307692307692299</c:v>
                </c:pt>
                <c:pt idx="47">
                  <c:v>9.9423076923076916</c:v>
                </c:pt>
                <c:pt idx="48">
                  <c:v>10.153846153846155</c:v>
                </c:pt>
                <c:pt idx="49">
                  <c:v>10.365384615384615</c:v>
                </c:pt>
                <c:pt idx="50">
                  <c:v>10.576923076923077</c:v>
                </c:pt>
                <c:pt idx="51">
                  <c:v>10.788461538461538</c:v>
                </c:pt>
                <c:pt idx="52">
                  <c:v>11</c:v>
                </c:pt>
                <c:pt idx="53">
                  <c:v>11.21153846153846</c:v>
                </c:pt>
                <c:pt idx="54">
                  <c:v>11.423076923076923</c:v>
                </c:pt>
                <c:pt idx="55">
                  <c:v>11.634615384615385</c:v>
                </c:pt>
                <c:pt idx="56">
                  <c:v>11.846153846153845</c:v>
                </c:pt>
                <c:pt idx="57">
                  <c:v>12.057692307692308</c:v>
                </c:pt>
                <c:pt idx="58">
                  <c:v>12.26923076923077</c:v>
                </c:pt>
                <c:pt idx="59">
                  <c:v>12.48076923076923</c:v>
                </c:pt>
                <c:pt idx="60">
                  <c:v>12.692307692307692</c:v>
                </c:pt>
                <c:pt idx="61">
                  <c:v>12.903846153846155</c:v>
                </c:pt>
                <c:pt idx="62">
                  <c:v>13.115384615384615</c:v>
                </c:pt>
                <c:pt idx="63">
                  <c:v>13.326923076923077</c:v>
                </c:pt>
                <c:pt idx="64">
                  <c:v>13.53846153846154</c:v>
                </c:pt>
                <c:pt idx="65">
                  <c:v>13.75</c:v>
                </c:pt>
                <c:pt idx="66">
                  <c:v>13.96153846153846</c:v>
                </c:pt>
                <c:pt idx="67">
                  <c:v>14.173076923076923</c:v>
                </c:pt>
                <c:pt idx="68">
                  <c:v>14.384615384615385</c:v>
                </c:pt>
                <c:pt idx="69">
                  <c:v>14.596153846153845</c:v>
                </c:pt>
                <c:pt idx="70">
                  <c:v>14.807692307692308</c:v>
                </c:pt>
                <c:pt idx="71">
                  <c:v>15.01923076923077</c:v>
                </c:pt>
                <c:pt idx="72">
                  <c:v>15.23076923076923</c:v>
                </c:pt>
                <c:pt idx="73">
                  <c:v>15.442307692307692</c:v>
                </c:pt>
                <c:pt idx="74">
                  <c:v>15.653846153846155</c:v>
                </c:pt>
                <c:pt idx="75">
                  <c:v>15.865384615384615</c:v>
                </c:pt>
                <c:pt idx="76">
                  <c:v>16.076923076923077</c:v>
                </c:pt>
                <c:pt idx="77">
                  <c:v>16.28846153846154</c:v>
                </c:pt>
                <c:pt idx="78">
                  <c:v>16.5</c:v>
                </c:pt>
                <c:pt idx="79">
                  <c:v>16.71153846153846</c:v>
                </c:pt>
                <c:pt idx="80">
                  <c:v>16.923076923076923</c:v>
                </c:pt>
                <c:pt idx="81">
                  <c:v>17.134615384615383</c:v>
                </c:pt>
                <c:pt idx="82">
                  <c:v>17.346153846153847</c:v>
                </c:pt>
                <c:pt idx="83">
                  <c:v>17.55769230769231</c:v>
                </c:pt>
                <c:pt idx="84">
                  <c:v>17.76923076923077</c:v>
                </c:pt>
                <c:pt idx="85">
                  <c:v>17.98076923076923</c:v>
                </c:pt>
                <c:pt idx="86">
                  <c:v>18.19230769230769</c:v>
                </c:pt>
                <c:pt idx="87">
                  <c:v>18.403846153846153</c:v>
                </c:pt>
                <c:pt idx="88">
                  <c:v>18.615384615384617</c:v>
                </c:pt>
                <c:pt idx="89">
                  <c:v>18.826923076923077</c:v>
                </c:pt>
                <c:pt idx="90">
                  <c:v>19.03846153846154</c:v>
                </c:pt>
                <c:pt idx="91">
                  <c:v>19.25</c:v>
                </c:pt>
                <c:pt idx="92">
                  <c:v>19.46153846153846</c:v>
                </c:pt>
                <c:pt idx="93">
                  <c:v>19.673076923076923</c:v>
                </c:pt>
                <c:pt idx="94">
                  <c:v>19.884615384615383</c:v>
                </c:pt>
                <c:pt idx="95">
                  <c:v>20.096153846153847</c:v>
                </c:pt>
                <c:pt idx="96">
                  <c:v>20.30769230769231</c:v>
                </c:pt>
                <c:pt idx="97">
                  <c:v>20.51923076923077</c:v>
                </c:pt>
                <c:pt idx="98">
                  <c:v>20.73076923076923</c:v>
                </c:pt>
                <c:pt idx="99">
                  <c:v>20.94230769230769</c:v>
                </c:pt>
                <c:pt idx="100">
                  <c:v>21.153846153846153</c:v>
                </c:pt>
                <c:pt idx="101">
                  <c:v>21.365384615384617</c:v>
                </c:pt>
              </c:numCache>
            </c:numRef>
          </c:xVal>
          <c:yVal>
            <c:numRef>
              <c:f>Start_up!$C$10:$C$111</c:f>
              <c:numCache>
                <c:formatCode>0.000</c:formatCode>
                <c:ptCount val="102"/>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numCache>
            </c:numRef>
          </c:yVal>
          <c:smooth val="1"/>
          <c:extLst>
            <c:ext xmlns:c16="http://schemas.microsoft.com/office/drawing/2014/chart" uri="{C3380CC4-5D6E-409C-BE32-E72D297353CC}">
              <c16:uniqueId val="{00000000-99D8-4C77-802B-4D5E74D1D331}"/>
            </c:ext>
          </c:extLst>
        </c:ser>
        <c:ser>
          <c:idx val="1"/>
          <c:order val="1"/>
          <c:tx>
            <c:strRef>
              <c:f>Start_up!$G$7</c:f>
              <c:strCache>
                <c:ptCount val="1"/>
                <c:pt idx="0">
                  <c:v>IFET</c:v>
                </c:pt>
              </c:strCache>
            </c:strRef>
          </c:tx>
          <c:marker>
            <c:symbol val="none"/>
          </c:marker>
          <c:xVal>
            <c:numRef>
              <c:f>Start_up!$B$129:$B$230</c:f>
              <c:numCache>
                <c:formatCode>0.00</c:formatCode>
                <c:ptCount val="102"/>
                <c:pt idx="0">
                  <c:v>0</c:v>
                </c:pt>
                <c:pt idx="1">
                  <c:v>0.21153846153846156</c:v>
                </c:pt>
                <c:pt idx="2">
                  <c:v>0.42307692307692313</c:v>
                </c:pt>
                <c:pt idx="3">
                  <c:v>0.63461538461538469</c:v>
                </c:pt>
                <c:pt idx="4">
                  <c:v>0.84615384615384626</c:v>
                </c:pt>
                <c:pt idx="5">
                  <c:v>1.0576923076923077</c:v>
                </c:pt>
                <c:pt idx="6">
                  <c:v>1.2692307692307694</c:v>
                </c:pt>
                <c:pt idx="7">
                  <c:v>1.4807692307692306</c:v>
                </c:pt>
                <c:pt idx="8">
                  <c:v>1.6923076923076925</c:v>
                </c:pt>
                <c:pt idx="9">
                  <c:v>1.9038461538461537</c:v>
                </c:pt>
                <c:pt idx="10">
                  <c:v>2.1153846153846154</c:v>
                </c:pt>
                <c:pt idx="11">
                  <c:v>2.3269230769230771</c:v>
                </c:pt>
                <c:pt idx="12">
                  <c:v>2.5384615384615388</c:v>
                </c:pt>
                <c:pt idx="13">
                  <c:v>2.75</c:v>
                </c:pt>
                <c:pt idx="14">
                  <c:v>2.9615384615384612</c:v>
                </c:pt>
                <c:pt idx="15">
                  <c:v>3.1730769230769229</c:v>
                </c:pt>
                <c:pt idx="16">
                  <c:v>3.384615384615385</c:v>
                </c:pt>
                <c:pt idx="17">
                  <c:v>3.5961538461538463</c:v>
                </c:pt>
                <c:pt idx="18">
                  <c:v>3.8076923076923075</c:v>
                </c:pt>
                <c:pt idx="19">
                  <c:v>4.0192307692307692</c:v>
                </c:pt>
                <c:pt idx="20">
                  <c:v>4.2307692307692308</c:v>
                </c:pt>
                <c:pt idx="21">
                  <c:v>4.4423076923076925</c:v>
                </c:pt>
                <c:pt idx="22">
                  <c:v>4.6538461538461542</c:v>
                </c:pt>
                <c:pt idx="23">
                  <c:v>4.865384615384615</c:v>
                </c:pt>
                <c:pt idx="24">
                  <c:v>5.0769230769230775</c:v>
                </c:pt>
                <c:pt idx="25">
                  <c:v>5.2884615384615383</c:v>
                </c:pt>
                <c:pt idx="26">
                  <c:v>5.5</c:v>
                </c:pt>
                <c:pt idx="27">
                  <c:v>5.7115384615384617</c:v>
                </c:pt>
                <c:pt idx="28">
                  <c:v>5.9230769230769225</c:v>
                </c:pt>
                <c:pt idx="29">
                  <c:v>6.134615384615385</c:v>
                </c:pt>
                <c:pt idx="30">
                  <c:v>6.3461538461538458</c:v>
                </c:pt>
                <c:pt idx="31">
                  <c:v>6.5576923076923075</c:v>
                </c:pt>
                <c:pt idx="32">
                  <c:v>6.7692307692307701</c:v>
                </c:pt>
                <c:pt idx="33">
                  <c:v>6.9807692307692299</c:v>
                </c:pt>
                <c:pt idx="34">
                  <c:v>7.1923076923076925</c:v>
                </c:pt>
                <c:pt idx="35">
                  <c:v>7.4038461538461542</c:v>
                </c:pt>
                <c:pt idx="36">
                  <c:v>7.615384615384615</c:v>
                </c:pt>
                <c:pt idx="37">
                  <c:v>7.8269230769230775</c:v>
                </c:pt>
                <c:pt idx="38">
                  <c:v>8.0384615384615383</c:v>
                </c:pt>
                <c:pt idx="39">
                  <c:v>8.25</c:v>
                </c:pt>
                <c:pt idx="40">
                  <c:v>8.4615384615384617</c:v>
                </c:pt>
                <c:pt idx="41">
                  <c:v>8.6730769230769234</c:v>
                </c:pt>
                <c:pt idx="42">
                  <c:v>8.884615384615385</c:v>
                </c:pt>
                <c:pt idx="43">
                  <c:v>9.0961538461538449</c:v>
                </c:pt>
                <c:pt idx="44">
                  <c:v>9.3076923076923084</c:v>
                </c:pt>
                <c:pt idx="45">
                  <c:v>9.5192307692307701</c:v>
                </c:pt>
                <c:pt idx="46">
                  <c:v>9.7307692307692299</c:v>
                </c:pt>
                <c:pt idx="47">
                  <c:v>9.9423076923076916</c:v>
                </c:pt>
                <c:pt idx="48">
                  <c:v>10.153846153846155</c:v>
                </c:pt>
                <c:pt idx="49">
                  <c:v>10.365384615384615</c:v>
                </c:pt>
                <c:pt idx="50">
                  <c:v>10.576923076923077</c:v>
                </c:pt>
                <c:pt idx="51">
                  <c:v>10.788461538461538</c:v>
                </c:pt>
                <c:pt idx="52">
                  <c:v>11</c:v>
                </c:pt>
                <c:pt idx="53">
                  <c:v>11.21153846153846</c:v>
                </c:pt>
                <c:pt idx="54">
                  <c:v>11.423076923076923</c:v>
                </c:pt>
                <c:pt idx="55">
                  <c:v>11.634615384615385</c:v>
                </c:pt>
                <c:pt idx="56">
                  <c:v>11.846153846153845</c:v>
                </c:pt>
                <c:pt idx="57">
                  <c:v>12.057692307692308</c:v>
                </c:pt>
                <c:pt idx="58">
                  <c:v>12.26923076923077</c:v>
                </c:pt>
                <c:pt idx="59">
                  <c:v>12.48076923076923</c:v>
                </c:pt>
                <c:pt idx="60">
                  <c:v>12.692307692307692</c:v>
                </c:pt>
                <c:pt idx="61">
                  <c:v>12.903846153846155</c:v>
                </c:pt>
                <c:pt idx="62">
                  <c:v>13.115384615384615</c:v>
                </c:pt>
                <c:pt idx="63">
                  <c:v>13.326923076923077</c:v>
                </c:pt>
                <c:pt idx="64">
                  <c:v>13.53846153846154</c:v>
                </c:pt>
                <c:pt idx="65">
                  <c:v>13.75</c:v>
                </c:pt>
                <c:pt idx="66">
                  <c:v>13.96153846153846</c:v>
                </c:pt>
                <c:pt idx="67">
                  <c:v>14.173076923076923</c:v>
                </c:pt>
                <c:pt idx="68">
                  <c:v>14.384615384615385</c:v>
                </c:pt>
                <c:pt idx="69">
                  <c:v>14.596153846153845</c:v>
                </c:pt>
                <c:pt idx="70">
                  <c:v>14.807692307692308</c:v>
                </c:pt>
                <c:pt idx="71">
                  <c:v>15.01923076923077</c:v>
                </c:pt>
                <c:pt idx="72">
                  <c:v>15.23076923076923</c:v>
                </c:pt>
                <c:pt idx="73">
                  <c:v>15.442307692307692</c:v>
                </c:pt>
                <c:pt idx="74">
                  <c:v>15.653846153846155</c:v>
                </c:pt>
                <c:pt idx="75">
                  <c:v>15.865384615384615</c:v>
                </c:pt>
                <c:pt idx="76">
                  <c:v>16.076923076923077</c:v>
                </c:pt>
                <c:pt idx="77">
                  <c:v>16.28846153846154</c:v>
                </c:pt>
                <c:pt idx="78">
                  <c:v>16.5</c:v>
                </c:pt>
                <c:pt idx="79">
                  <c:v>16.71153846153846</c:v>
                </c:pt>
                <c:pt idx="80">
                  <c:v>16.923076923076923</c:v>
                </c:pt>
                <c:pt idx="81">
                  <c:v>17.134615384615383</c:v>
                </c:pt>
                <c:pt idx="82">
                  <c:v>17.346153846153847</c:v>
                </c:pt>
                <c:pt idx="83">
                  <c:v>17.55769230769231</c:v>
                </c:pt>
                <c:pt idx="84">
                  <c:v>17.76923076923077</c:v>
                </c:pt>
                <c:pt idx="85">
                  <c:v>17.98076923076923</c:v>
                </c:pt>
                <c:pt idx="86">
                  <c:v>18.19230769230769</c:v>
                </c:pt>
                <c:pt idx="87">
                  <c:v>18.403846153846153</c:v>
                </c:pt>
                <c:pt idx="88">
                  <c:v>18.615384615384617</c:v>
                </c:pt>
                <c:pt idx="89">
                  <c:v>18.826923076923077</c:v>
                </c:pt>
                <c:pt idx="90">
                  <c:v>19.03846153846154</c:v>
                </c:pt>
                <c:pt idx="91">
                  <c:v>19.25</c:v>
                </c:pt>
                <c:pt idx="92">
                  <c:v>19.46153846153846</c:v>
                </c:pt>
                <c:pt idx="93">
                  <c:v>19.673076923076923</c:v>
                </c:pt>
                <c:pt idx="94">
                  <c:v>19.884615384615383</c:v>
                </c:pt>
                <c:pt idx="95">
                  <c:v>20.096153846153847</c:v>
                </c:pt>
                <c:pt idx="96">
                  <c:v>20.30769230769231</c:v>
                </c:pt>
                <c:pt idx="97">
                  <c:v>20.51923076923077</c:v>
                </c:pt>
                <c:pt idx="98">
                  <c:v>20.73076923076923</c:v>
                </c:pt>
                <c:pt idx="99">
                  <c:v>20.94230769230769</c:v>
                </c:pt>
                <c:pt idx="100">
                  <c:v>21.153846153846153</c:v>
                </c:pt>
                <c:pt idx="101">
                  <c:v>21.365384615384617</c:v>
                </c:pt>
              </c:numCache>
            </c:numRef>
          </c:xVal>
          <c:yVal>
            <c:numRef>
              <c:f>Start_up!$G$129:$G$230</c:f>
              <c:numCache>
                <c:formatCode>General</c:formatCode>
                <c:ptCount val="102"/>
                <c:pt idx="0">
                  <c:v>0.52</c:v>
                </c:pt>
                <c:pt idx="1">
                  <c:v>0.52</c:v>
                </c:pt>
                <c:pt idx="2">
                  <c:v>0.52</c:v>
                </c:pt>
                <c:pt idx="3">
                  <c:v>0.52</c:v>
                </c:pt>
                <c:pt idx="4">
                  <c:v>0.52</c:v>
                </c:pt>
                <c:pt idx="5">
                  <c:v>0.52</c:v>
                </c:pt>
                <c:pt idx="6">
                  <c:v>0.52</c:v>
                </c:pt>
                <c:pt idx="7">
                  <c:v>0.52</c:v>
                </c:pt>
                <c:pt idx="8">
                  <c:v>0.52</c:v>
                </c:pt>
                <c:pt idx="9">
                  <c:v>0.52</c:v>
                </c:pt>
                <c:pt idx="10">
                  <c:v>0.52</c:v>
                </c:pt>
                <c:pt idx="11">
                  <c:v>0.52</c:v>
                </c:pt>
                <c:pt idx="12">
                  <c:v>0.52</c:v>
                </c:pt>
                <c:pt idx="13">
                  <c:v>0.52</c:v>
                </c:pt>
                <c:pt idx="14">
                  <c:v>0.52</c:v>
                </c:pt>
                <c:pt idx="15">
                  <c:v>0.52</c:v>
                </c:pt>
                <c:pt idx="16">
                  <c:v>0.52</c:v>
                </c:pt>
                <c:pt idx="17">
                  <c:v>0.52</c:v>
                </c:pt>
                <c:pt idx="18">
                  <c:v>0.52</c:v>
                </c:pt>
                <c:pt idx="19">
                  <c:v>0.52</c:v>
                </c:pt>
                <c:pt idx="20">
                  <c:v>0.52</c:v>
                </c:pt>
                <c:pt idx="21">
                  <c:v>0.52</c:v>
                </c:pt>
                <c:pt idx="22">
                  <c:v>0.52</c:v>
                </c:pt>
                <c:pt idx="23">
                  <c:v>0.52</c:v>
                </c:pt>
                <c:pt idx="24">
                  <c:v>0.52</c:v>
                </c:pt>
                <c:pt idx="25">
                  <c:v>0.52</c:v>
                </c:pt>
                <c:pt idx="26">
                  <c:v>0.52</c:v>
                </c:pt>
                <c:pt idx="27">
                  <c:v>0.52</c:v>
                </c:pt>
                <c:pt idx="28">
                  <c:v>0.52</c:v>
                </c:pt>
                <c:pt idx="29">
                  <c:v>0.52</c:v>
                </c:pt>
                <c:pt idx="30">
                  <c:v>0.52</c:v>
                </c:pt>
                <c:pt idx="31">
                  <c:v>0.52</c:v>
                </c:pt>
                <c:pt idx="32">
                  <c:v>0.52</c:v>
                </c:pt>
                <c:pt idx="33">
                  <c:v>0.52</c:v>
                </c:pt>
                <c:pt idx="34">
                  <c:v>0.52</c:v>
                </c:pt>
                <c:pt idx="35">
                  <c:v>0.52</c:v>
                </c:pt>
                <c:pt idx="36">
                  <c:v>0.52</c:v>
                </c:pt>
                <c:pt idx="37">
                  <c:v>0.52</c:v>
                </c:pt>
                <c:pt idx="38">
                  <c:v>0.52</c:v>
                </c:pt>
                <c:pt idx="39">
                  <c:v>0.52</c:v>
                </c:pt>
                <c:pt idx="40">
                  <c:v>0.52</c:v>
                </c:pt>
                <c:pt idx="41">
                  <c:v>0.52</c:v>
                </c:pt>
                <c:pt idx="42">
                  <c:v>0.52</c:v>
                </c:pt>
                <c:pt idx="43">
                  <c:v>0.52</c:v>
                </c:pt>
                <c:pt idx="44">
                  <c:v>0.52</c:v>
                </c:pt>
                <c:pt idx="45">
                  <c:v>0.52</c:v>
                </c:pt>
                <c:pt idx="46">
                  <c:v>0.52</c:v>
                </c:pt>
                <c:pt idx="47">
                  <c:v>0.52</c:v>
                </c:pt>
                <c:pt idx="48">
                  <c:v>0.52</c:v>
                </c:pt>
                <c:pt idx="49">
                  <c:v>0.52</c:v>
                </c:pt>
                <c:pt idx="50">
                  <c:v>0.52</c:v>
                </c:pt>
                <c:pt idx="51">
                  <c:v>0.52</c:v>
                </c:pt>
                <c:pt idx="52">
                  <c:v>0.52</c:v>
                </c:pt>
                <c:pt idx="53">
                  <c:v>0.52</c:v>
                </c:pt>
                <c:pt idx="54">
                  <c:v>0.52</c:v>
                </c:pt>
                <c:pt idx="55">
                  <c:v>0.52</c:v>
                </c:pt>
                <c:pt idx="56">
                  <c:v>0.52</c:v>
                </c:pt>
                <c:pt idx="57">
                  <c:v>0.52</c:v>
                </c:pt>
                <c:pt idx="58">
                  <c:v>0.52</c:v>
                </c:pt>
                <c:pt idx="59">
                  <c:v>0.52</c:v>
                </c:pt>
                <c:pt idx="60">
                  <c:v>0.52</c:v>
                </c:pt>
                <c:pt idx="61">
                  <c:v>0.52</c:v>
                </c:pt>
                <c:pt idx="62">
                  <c:v>0.52</c:v>
                </c:pt>
                <c:pt idx="63">
                  <c:v>0.52</c:v>
                </c:pt>
                <c:pt idx="64">
                  <c:v>0.52</c:v>
                </c:pt>
                <c:pt idx="65">
                  <c:v>0.52</c:v>
                </c:pt>
                <c:pt idx="66">
                  <c:v>0.52</c:v>
                </c:pt>
                <c:pt idx="67">
                  <c:v>0.52</c:v>
                </c:pt>
                <c:pt idx="68">
                  <c:v>0.52</c:v>
                </c:pt>
                <c:pt idx="69">
                  <c:v>0.52</c:v>
                </c:pt>
                <c:pt idx="70">
                  <c:v>0.52</c:v>
                </c:pt>
                <c:pt idx="71">
                  <c:v>0.52</c:v>
                </c:pt>
                <c:pt idx="72">
                  <c:v>0.52</c:v>
                </c:pt>
                <c:pt idx="73">
                  <c:v>0.52</c:v>
                </c:pt>
                <c:pt idx="74">
                  <c:v>0.52</c:v>
                </c:pt>
                <c:pt idx="75">
                  <c:v>0.52</c:v>
                </c:pt>
                <c:pt idx="76">
                  <c:v>0.52</c:v>
                </c:pt>
                <c:pt idx="77">
                  <c:v>0.52</c:v>
                </c:pt>
                <c:pt idx="78">
                  <c:v>0.52</c:v>
                </c:pt>
                <c:pt idx="79">
                  <c:v>0.52</c:v>
                </c:pt>
                <c:pt idx="80">
                  <c:v>0.52</c:v>
                </c:pt>
                <c:pt idx="81">
                  <c:v>0.52</c:v>
                </c:pt>
                <c:pt idx="82">
                  <c:v>0.52</c:v>
                </c:pt>
                <c:pt idx="83">
                  <c:v>0.52</c:v>
                </c:pt>
                <c:pt idx="84">
                  <c:v>0.52</c:v>
                </c:pt>
                <c:pt idx="85">
                  <c:v>0.52</c:v>
                </c:pt>
                <c:pt idx="86">
                  <c:v>0.52</c:v>
                </c:pt>
                <c:pt idx="87">
                  <c:v>0.52</c:v>
                </c:pt>
                <c:pt idx="88">
                  <c:v>0.52</c:v>
                </c:pt>
                <c:pt idx="89">
                  <c:v>0.52</c:v>
                </c:pt>
                <c:pt idx="90">
                  <c:v>0.52</c:v>
                </c:pt>
                <c:pt idx="91">
                  <c:v>0.52</c:v>
                </c:pt>
                <c:pt idx="92">
                  <c:v>0.52</c:v>
                </c:pt>
                <c:pt idx="93">
                  <c:v>0.52</c:v>
                </c:pt>
                <c:pt idx="94">
                  <c:v>0.52</c:v>
                </c:pt>
                <c:pt idx="95">
                  <c:v>0.52</c:v>
                </c:pt>
                <c:pt idx="96">
                  <c:v>0.52</c:v>
                </c:pt>
                <c:pt idx="97">
                  <c:v>0.52</c:v>
                </c:pt>
                <c:pt idx="98">
                  <c:v>0.52</c:v>
                </c:pt>
                <c:pt idx="99">
                  <c:v>0.52</c:v>
                </c:pt>
                <c:pt idx="100">
                  <c:v>0.52</c:v>
                </c:pt>
                <c:pt idx="101">
                  <c:v>0.52</c:v>
                </c:pt>
              </c:numCache>
            </c:numRef>
          </c:yVal>
          <c:smooth val="1"/>
          <c:extLst>
            <c:ext xmlns:c16="http://schemas.microsoft.com/office/drawing/2014/chart" uri="{C3380CC4-5D6E-409C-BE32-E72D297353CC}">
              <c16:uniqueId val="{00000001-99D8-4C77-802B-4D5E74D1D331}"/>
            </c:ext>
          </c:extLst>
        </c:ser>
        <c:dLbls>
          <c:showLegendKey val="0"/>
          <c:showVal val="0"/>
          <c:showCatName val="0"/>
          <c:showSerName val="0"/>
          <c:showPercent val="0"/>
          <c:showBubbleSize val="0"/>
        </c:dLbls>
        <c:axId val="352111616"/>
        <c:axId val="389465216"/>
      </c:scatterChart>
      <c:valAx>
        <c:axId val="352111616"/>
        <c:scaling>
          <c:orientation val="minMax"/>
        </c:scaling>
        <c:delete val="0"/>
        <c:axPos val="b"/>
        <c:title>
          <c:tx>
            <c:rich>
              <a:bodyPr/>
              <a:lstStyle/>
              <a:p>
                <a:pPr>
                  <a:defRPr/>
                </a:pPr>
                <a:r>
                  <a:rPr lang="en-US"/>
                  <a:t>Output</a:t>
                </a:r>
                <a:r>
                  <a:rPr lang="en-US" baseline="0"/>
                  <a:t> Voltage (V)</a:t>
                </a:r>
                <a:endParaRPr lang="en-US"/>
              </a:p>
            </c:rich>
          </c:tx>
          <c:overlay val="0"/>
        </c:title>
        <c:numFmt formatCode="0.00" sourceLinked="1"/>
        <c:majorTickMark val="out"/>
        <c:minorTickMark val="none"/>
        <c:tickLblPos val="nextTo"/>
        <c:crossAx val="389465216"/>
        <c:crosses val="autoZero"/>
        <c:crossBetween val="midCat"/>
      </c:valAx>
      <c:valAx>
        <c:axId val="389465216"/>
        <c:scaling>
          <c:orientation val="minMax"/>
          <c:min val="0"/>
        </c:scaling>
        <c:delete val="0"/>
        <c:axPos val="l"/>
        <c:majorGridlines/>
        <c:title>
          <c:tx>
            <c:rich>
              <a:bodyPr rot="-5400000" vert="horz"/>
              <a:lstStyle/>
              <a:p>
                <a:pPr>
                  <a:defRPr/>
                </a:pPr>
                <a:r>
                  <a:rPr lang="en-US"/>
                  <a:t>Current (A)</a:t>
                </a:r>
              </a:p>
            </c:rich>
          </c:tx>
          <c:overlay val="0"/>
        </c:title>
        <c:numFmt formatCode="0.000" sourceLinked="1"/>
        <c:majorTickMark val="out"/>
        <c:minorTickMark val="none"/>
        <c:tickLblPos val="nextTo"/>
        <c:crossAx val="352111616"/>
        <c:crosses val="autoZero"/>
        <c:crossBetween val="midCat"/>
      </c:valAx>
    </c:plotArea>
    <c:legend>
      <c:legendPos val="r"/>
      <c:layout>
        <c:manualLayout>
          <c:xMode val="edge"/>
          <c:yMode val="edge"/>
          <c:x val="0.34624252358789726"/>
          <c:y val="0.24479126489117176"/>
          <c:w val="0.21462230092985587"/>
          <c:h val="0.16792443955258282"/>
        </c:manualLayout>
      </c:layout>
      <c:overlay val="0"/>
      <c:spPr>
        <a:solidFill>
          <a:sysClr val="window" lastClr="FFFFFF"/>
        </a:solidFill>
        <a:ln>
          <a:solidFill>
            <a:schemeClr val="tx1"/>
          </a:solidFill>
        </a:ln>
      </c:spPr>
      <c:txPr>
        <a:bodyPr/>
        <a:lstStyle/>
        <a:p>
          <a:pPr>
            <a:defRPr>
              <a:ln>
                <a:solidFill>
                  <a:sysClr val="windowText" lastClr="000000"/>
                </a:solidFill>
              </a:ln>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8.png"/><Relationship Id="rId18" Type="http://schemas.openxmlformats.org/officeDocument/2006/relationships/image" Target="../media/image13.emf"/><Relationship Id="rId3" Type="http://schemas.openxmlformats.org/officeDocument/2006/relationships/image" Target="../media/image2.png"/><Relationship Id="rId7" Type="http://schemas.openxmlformats.org/officeDocument/2006/relationships/chart" Target="../charts/chart2.xml"/><Relationship Id="rId12" Type="http://schemas.openxmlformats.org/officeDocument/2006/relationships/image" Target="../media/image7.jpeg"/><Relationship Id="rId17" Type="http://schemas.openxmlformats.org/officeDocument/2006/relationships/image" Target="../media/image12.png"/><Relationship Id="rId2" Type="http://schemas.openxmlformats.org/officeDocument/2006/relationships/hyperlink" Target="http://www.ti.com/" TargetMode="External"/><Relationship Id="rId16" Type="http://schemas.openxmlformats.org/officeDocument/2006/relationships/image" Target="../media/image11.emf"/><Relationship Id="rId1" Type="http://schemas.openxmlformats.org/officeDocument/2006/relationships/hyperlink" Target="http://www.ti.com/lit/gpn/lm5069" TargetMode="External"/><Relationship Id="rId6" Type="http://schemas.openxmlformats.org/officeDocument/2006/relationships/chart" Target="../charts/chart1.xml"/><Relationship Id="rId11" Type="http://schemas.openxmlformats.org/officeDocument/2006/relationships/hyperlink" Target="http://www.ti.com/product/lm5069" TargetMode="External"/><Relationship Id="rId5" Type="http://schemas.openxmlformats.org/officeDocument/2006/relationships/image" Target="../media/image4.png"/><Relationship Id="rId15" Type="http://schemas.openxmlformats.org/officeDocument/2006/relationships/image" Target="../media/image10.png"/><Relationship Id="rId10" Type="http://schemas.openxmlformats.org/officeDocument/2006/relationships/image" Target="../media/image6.gif"/><Relationship Id="rId19" Type="http://schemas.openxmlformats.org/officeDocument/2006/relationships/image" Target="../media/image14.png"/><Relationship Id="rId4" Type="http://schemas.openxmlformats.org/officeDocument/2006/relationships/image" Target="../media/image3.emf"/><Relationship Id="rId9" Type="http://schemas.openxmlformats.org/officeDocument/2006/relationships/image" Target="../media/image5.gif"/><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104775</xdr:rowOff>
    </xdr:from>
    <xdr:to>
      <xdr:col>15</xdr:col>
      <xdr:colOff>581025</xdr:colOff>
      <xdr:row>5</xdr:row>
      <xdr:rowOff>38100</xdr:rowOff>
    </xdr:to>
    <xdr:sp macro=""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0" y="257175"/>
          <a:ext cx="9725025" cy="933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142875</xdr:colOff>
      <xdr:row>2</xdr:row>
      <xdr:rowOff>28575</xdr:rowOff>
    </xdr:from>
    <xdr:to>
      <xdr:col>4</xdr:col>
      <xdr:colOff>28575</xdr:colOff>
      <xdr:row>4</xdr:row>
      <xdr:rowOff>133350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342900"/>
          <a:ext cx="2324100"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64769</xdr:colOff>
      <xdr:row>1</xdr:row>
      <xdr:rowOff>104775</xdr:rowOff>
    </xdr:from>
    <xdr:to>
      <xdr:col>7</xdr:col>
      <xdr:colOff>19050</xdr:colOff>
      <xdr:row>7</xdr:row>
      <xdr:rowOff>0</xdr:rowOff>
    </xdr:to>
    <xdr:sp macro="" textlink="">
      <xdr:nvSpPr>
        <xdr:cNvPr id="1025" name="Text Box 1">
          <a:hlinkClick xmlns:r="http://schemas.openxmlformats.org/officeDocument/2006/relationships" r:id="rId1"/>
          <a:extLst>
            <a:ext uri="{FF2B5EF4-FFF2-40B4-BE49-F238E27FC236}">
              <a16:creationId xmlns:a16="http://schemas.microsoft.com/office/drawing/2014/main" id="{00000000-0008-0000-0100-000001040000}"/>
            </a:ext>
          </a:extLst>
        </xdr:cNvPr>
        <xdr:cNvSpPr txBox="1">
          <a:spLocks noChangeArrowheads="1"/>
        </xdr:cNvSpPr>
      </xdr:nvSpPr>
      <xdr:spPr bwMode="auto">
        <a:xfrm>
          <a:off x="64769" y="876300"/>
          <a:ext cx="6497956" cy="904875"/>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0" u="sng" strike="noStrike" baseline="0">
              <a:solidFill>
                <a:srgbClr val="FF0000"/>
              </a:solidFill>
              <a:latin typeface="Arial"/>
              <a:cs typeface="Arial"/>
            </a:rPr>
            <a:t>Note</a:t>
          </a:r>
          <a:r>
            <a:rPr lang="en-US" sz="1200" b="1" i="0" u="none" strike="noStrike" baseline="0">
              <a:solidFill>
                <a:srgbClr val="FF0000"/>
              </a:solidFill>
              <a:latin typeface="Arial"/>
              <a:cs typeface="Arial"/>
            </a:rPr>
            <a:t>:</a:t>
          </a:r>
          <a:r>
            <a:rPr lang="en-US" sz="1200" b="0" i="0" u="none" strike="noStrike" baseline="0">
              <a:solidFill>
                <a:srgbClr val="FF0000"/>
              </a:solidFill>
              <a:latin typeface="Arial"/>
              <a:cs typeface="Arial"/>
            </a:rPr>
            <a:t> The components calculated in this worksheet are reasonable starting values for a design using the LM5069 Hot-swap Controller. As such, they are not optimized for any particular performance attribute. Tolerances of the components are not included in the calculations. See the Instructions tab for additional information.</a:t>
          </a:r>
        </a:p>
        <a:p>
          <a:pPr algn="l" rtl="0">
            <a:defRPr sz="1000"/>
          </a:pPr>
          <a:r>
            <a:rPr lang="en-US" sz="1200" b="1" i="0" u="none" strike="noStrike" baseline="0">
              <a:solidFill>
                <a:sysClr val="windowText" lastClr="000000"/>
              </a:solidFill>
              <a:latin typeface="Arial"/>
              <a:cs typeface="Arial"/>
            </a:rPr>
            <a:t>Consult the LM5069 datasheet for more detail.</a:t>
          </a:r>
        </a:p>
      </xdr:txBody>
    </xdr:sp>
    <xdr:clientData/>
  </xdr:twoCellAnchor>
  <xdr:twoCellAnchor>
    <xdr:from>
      <xdr:col>41</xdr:col>
      <xdr:colOff>0</xdr:colOff>
      <xdr:row>62</xdr:row>
      <xdr:rowOff>0</xdr:rowOff>
    </xdr:from>
    <xdr:to>
      <xdr:col>41</xdr:col>
      <xdr:colOff>0</xdr:colOff>
      <xdr:row>70</xdr:row>
      <xdr:rowOff>0</xdr:rowOff>
    </xdr:to>
    <xdr:sp macro="" textlink="">
      <xdr:nvSpPr>
        <xdr:cNvPr id="1056" name="Text Box 32">
          <a:extLst>
            <a:ext uri="{FF2B5EF4-FFF2-40B4-BE49-F238E27FC236}">
              <a16:creationId xmlns:a16="http://schemas.microsoft.com/office/drawing/2014/main" id="{00000000-0008-0000-0100-000020040000}"/>
            </a:ext>
          </a:extLst>
        </xdr:cNvPr>
        <xdr:cNvSpPr txBox="1">
          <a:spLocks noChangeArrowheads="1"/>
        </xdr:cNvSpPr>
      </xdr:nvSpPr>
      <xdr:spPr bwMode="auto">
        <a:xfrm>
          <a:off x="16821150" y="4267200"/>
          <a:ext cx="2276475" cy="84772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Max R</a:t>
          </a:r>
          <a:r>
            <a:rPr lang="en-US" sz="1000" b="0" i="0" u="none" strike="noStrike" baseline="-25000">
              <a:solidFill>
                <a:srgbClr val="000000"/>
              </a:solidFill>
              <a:latin typeface="Arial"/>
              <a:cs typeface="Arial"/>
            </a:rPr>
            <a:t>S</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45 mV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(Max Load Current x 1.01)</a:t>
          </a:r>
        </a:p>
        <a:p>
          <a:pPr algn="l" rtl="0">
            <a:defRPr sz="1000"/>
          </a:pPr>
          <a:endParaRPr lang="en-US" sz="10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The 1.01 factor provides 1% margin from the max. normal load current.</a:t>
          </a:r>
        </a:p>
      </xdr:txBody>
    </xdr:sp>
    <xdr:clientData/>
  </xdr:twoCellAnchor>
  <xdr:twoCellAnchor editAs="oneCell">
    <xdr:from>
      <xdr:col>0</xdr:col>
      <xdr:colOff>76200</xdr:colOff>
      <xdr:row>0</xdr:row>
      <xdr:rowOff>171450</xdr:rowOff>
    </xdr:from>
    <xdr:to>
      <xdr:col>1</xdr:col>
      <xdr:colOff>1657687</xdr:colOff>
      <xdr:row>0</xdr:row>
      <xdr:rowOff>609600</xdr:rowOff>
    </xdr:to>
    <xdr:pic>
      <xdr:nvPicPr>
        <xdr:cNvPr id="10" name="Picture 9">
          <a:hlinkClick xmlns:r="http://schemas.openxmlformats.org/officeDocument/2006/relationships" r:id="rId2"/>
          <a:extLst>
            <a:ext uri="{FF2B5EF4-FFF2-40B4-BE49-F238E27FC236}">
              <a16:creationId xmlns:a16="http://schemas.microsoft.com/office/drawing/2014/main" id="{00000000-0008-0000-0100-00000A000000}"/>
            </a:ext>
          </a:extLst>
        </xdr:cNvPr>
        <xdr:cNvPicPr/>
      </xdr:nvPicPr>
      <xdr:blipFill>
        <a:blip xmlns:r="http://schemas.openxmlformats.org/officeDocument/2006/relationships" r:embed="rId3" cstate="print"/>
        <a:srcRect r="26499"/>
        <a:stretch>
          <a:fillRect/>
        </a:stretch>
      </xdr:blipFill>
      <xdr:spPr bwMode="auto">
        <a:xfrm>
          <a:off x="76200" y="171450"/>
          <a:ext cx="1657687" cy="438150"/>
        </a:xfrm>
        <a:prstGeom prst="rect">
          <a:avLst/>
        </a:prstGeom>
        <a:noFill/>
        <a:ln w="9525">
          <a:noFill/>
          <a:miter lim="800000"/>
          <a:headEnd/>
          <a:tailEnd/>
        </a:ln>
      </xdr:spPr>
    </xdr:pic>
    <xdr:clientData/>
  </xdr:twoCellAnchor>
  <xdr:twoCellAnchor editAs="oneCell">
    <xdr:from>
      <xdr:col>5</xdr:col>
      <xdr:colOff>95251</xdr:colOff>
      <xdr:row>156</xdr:row>
      <xdr:rowOff>95251</xdr:rowOff>
    </xdr:from>
    <xdr:to>
      <xdr:col>7</xdr:col>
      <xdr:colOff>162170</xdr:colOff>
      <xdr:row>156</xdr:row>
      <xdr:rowOff>97409</xdr:rowOff>
    </xdr:to>
    <xdr:pic>
      <xdr:nvPicPr>
        <xdr:cNvPr id="3" name="Picture 216">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5467351" y="15116176"/>
          <a:ext cx="4019549" cy="653471"/>
        </a:xfrm>
        <a:prstGeom prst="rect">
          <a:avLst/>
        </a:prstGeom>
        <a:noFill/>
      </xdr:spPr>
    </xdr:pic>
    <xdr:clientData/>
  </xdr:twoCellAnchor>
  <xdr:twoCellAnchor>
    <xdr:from>
      <xdr:col>16</xdr:col>
      <xdr:colOff>714375</xdr:colOff>
      <xdr:row>0</xdr:row>
      <xdr:rowOff>114871</xdr:rowOff>
    </xdr:from>
    <xdr:to>
      <xdr:col>16</xdr:col>
      <xdr:colOff>2247900</xdr:colOff>
      <xdr:row>0</xdr:row>
      <xdr:rowOff>516906</xdr:rowOff>
    </xdr:to>
    <xdr:pic>
      <xdr:nvPicPr>
        <xdr:cNvPr id="11" name="Picture 84">
          <a:extLst>
            <a:ext uri="{FF2B5EF4-FFF2-40B4-BE49-F238E27FC236}">
              <a16:creationId xmlns:a16="http://schemas.microsoft.com/office/drawing/2014/main" id="{00000000-0008-0000-0100-00000B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0982325" y="114871"/>
          <a:ext cx="1533525" cy="402035"/>
        </a:xfrm>
        <a:prstGeom prst="rect">
          <a:avLst/>
        </a:prstGeom>
        <a:noFill/>
        <a:ln w="1">
          <a:noFill/>
          <a:miter lim="800000"/>
          <a:headEnd/>
          <a:tailEnd type="none" w="med" len="med"/>
        </a:ln>
        <a:effectLst/>
      </xdr:spPr>
    </xdr:pic>
    <xdr:clientData/>
  </xdr:twoCellAnchor>
  <xdr:twoCellAnchor>
    <xdr:from>
      <xdr:col>9</xdr:col>
      <xdr:colOff>274320</xdr:colOff>
      <xdr:row>52</xdr:row>
      <xdr:rowOff>76202</xdr:rowOff>
    </xdr:from>
    <xdr:to>
      <xdr:col>40</xdr:col>
      <xdr:colOff>373530</xdr:colOff>
      <xdr:row>65</xdr:row>
      <xdr:rowOff>171823</xdr:rowOff>
    </xdr:to>
    <xdr:graphicFrame macro="">
      <xdr:nvGraphicFramePr>
        <xdr:cNvPr id="19" name="Chart 100">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10</xdr:col>
      <xdr:colOff>53340</xdr:colOff>
      <xdr:row>38</xdr:row>
      <xdr:rowOff>175260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26680" y="51968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7</xdr:col>
      <xdr:colOff>1143001</xdr:colOff>
      <xdr:row>74</xdr:row>
      <xdr:rowOff>104715</xdr:rowOff>
    </xdr:from>
    <xdr:to>
      <xdr:col>39</xdr:col>
      <xdr:colOff>35238</xdr:colOff>
      <xdr:row>88</xdr:row>
      <xdr:rowOff>82302</xdr:rowOff>
    </xdr:to>
    <xdr:graphicFrame macro="">
      <xdr:nvGraphicFramePr>
        <xdr:cNvPr id="16" name="Chart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13</xdr:col>
      <xdr:colOff>434340</xdr:colOff>
      <xdr:row>58</xdr:row>
      <xdr:rowOff>91440</xdr:rowOff>
    </xdr:from>
    <xdr:ext cx="184731" cy="264560"/>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0309860" y="77419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7</xdr:col>
      <xdr:colOff>1132416</xdr:colOff>
      <xdr:row>88</xdr:row>
      <xdr:rowOff>146673</xdr:rowOff>
    </xdr:from>
    <xdr:to>
      <xdr:col>39</xdr:col>
      <xdr:colOff>17610</xdr:colOff>
      <xdr:row>99</xdr:row>
      <xdr:rowOff>81777</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14</xdr:col>
      <xdr:colOff>662940</xdr:colOff>
      <xdr:row>76</xdr:row>
      <xdr:rowOff>30480</xdr:rowOff>
    </xdr:from>
    <xdr:ext cx="184731" cy="264560"/>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1193780" y="98602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12</xdr:col>
      <xdr:colOff>0</xdr:colOff>
      <xdr:row>8</xdr:row>
      <xdr:rowOff>0</xdr:rowOff>
    </xdr:from>
    <xdr:to>
      <xdr:col>12</xdr:col>
      <xdr:colOff>9525</xdr:colOff>
      <xdr:row>8</xdr:row>
      <xdr:rowOff>9525</xdr:rowOff>
    </xdr:to>
    <xdr:pic>
      <xdr:nvPicPr>
        <xdr:cNvPr id="24" name="Picture 23" descr="http://d.adroll.com/cm/w/out">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334625" y="23717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19050</xdr:colOff>
      <xdr:row>8</xdr:row>
      <xdr:rowOff>0</xdr:rowOff>
    </xdr:from>
    <xdr:to>
      <xdr:col>12</xdr:col>
      <xdr:colOff>28575</xdr:colOff>
      <xdr:row>8</xdr:row>
      <xdr:rowOff>9525</xdr:rowOff>
    </xdr:to>
    <xdr:sp macro="" textlink="">
      <xdr:nvSpPr>
        <xdr:cNvPr id="1351" name="AutoShape 327" descr="http://d.adroll.com/cm/x/out">
          <a:extLst>
            <a:ext uri="{FF2B5EF4-FFF2-40B4-BE49-F238E27FC236}">
              <a16:creationId xmlns:a16="http://schemas.microsoft.com/office/drawing/2014/main" id="{00000000-0008-0000-0100-000047050000}"/>
            </a:ext>
          </a:extLst>
        </xdr:cNvPr>
        <xdr:cNvSpPr>
          <a:spLocks noChangeAspect="1" noChangeArrowheads="1"/>
        </xdr:cNvSpPr>
      </xdr:nvSpPr>
      <xdr:spPr bwMode="auto">
        <a:xfrm>
          <a:off x="10353675" y="23717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38100</xdr:colOff>
      <xdr:row>8</xdr:row>
      <xdr:rowOff>0</xdr:rowOff>
    </xdr:from>
    <xdr:to>
      <xdr:col>12</xdr:col>
      <xdr:colOff>47625</xdr:colOff>
      <xdr:row>8</xdr:row>
      <xdr:rowOff>9525</xdr:rowOff>
    </xdr:to>
    <xdr:pic>
      <xdr:nvPicPr>
        <xdr:cNvPr id="25" name="Picture 24" descr="http://www.googleadservices.com/pagead/conversion/1011350631/?label=RVMHCInF3gYQ5_if4gM&amp;guid=ON&amp;script=0&amp;ord=796115526459005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372725" y="23717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xdr:colOff>
      <xdr:row>8</xdr:row>
      <xdr:rowOff>0</xdr:rowOff>
    </xdr:from>
    <xdr:to>
      <xdr:col>12</xdr:col>
      <xdr:colOff>66675</xdr:colOff>
      <xdr:row>8</xdr:row>
      <xdr:rowOff>9525</xdr:rowOff>
    </xdr:to>
    <xdr:sp macro="" textlink="">
      <xdr:nvSpPr>
        <xdr:cNvPr id="1353" name="AutoShape 329" descr="http://d.adroll.com/cm/g/out?google_nid=adroll2">
          <a:extLst>
            <a:ext uri="{FF2B5EF4-FFF2-40B4-BE49-F238E27FC236}">
              <a16:creationId xmlns:a16="http://schemas.microsoft.com/office/drawing/2014/main" id="{00000000-0008-0000-0100-000049050000}"/>
            </a:ext>
          </a:extLst>
        </xdr:cNvPr>
        <xdr:cNvSpPr>
          <a:spLocks noChangeAspect="1" noChangeArrowheads="1"/>
        </xdr:cNvSpPr>
      </xdr:nvSpPr>
      <xdr:spPr bwMode="auto">
        <a:xfrm>
          <a:off x="10391775" y="23717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76200</xdr:colOff>
      <xdr:row>8</xdr:row>
      <xdr:rowOff>0</xdr:rowOff>
    </xdr:from>
    <xdr:to>
      <xdr:col>12</xdr:col>
      <xdr:colOff>85725</xdr:colOff>
      <xdr:row>8</xdr:row>
      <xdr:rowOff>9525</xdr:rowOff>
    </xdr:to>
    <xdr:sp macro="" textlink="">
      <xdr:nvSpPr>
        <xdr:cNvPr id="1354" name="AutoShape 330" descr="http://ib.adnxs.com/seg?add=556715&amp;t=2">
          <a:extLst>
            <a:ext uri="{FF2B5EF4-FFF2-40B4-BE49-F238E27FC236}">
              <a16:creationId xmlns:a16="http://schemas.microsoft.com/office/drawing/2014/main" id="{00000000-0008-0000-0100-00004A050000}"/>
            </a:ext>
          </a:extLst>
        </xdr:cNvPr>
        <xdr:cNvSpPr>
          <a:spLocks noChangeAspect="1" noChangeArrowheads="1"/>
        </xdr:cNvSpPr>
      </xdr:nvSpPr>
      <xdr:spPr bwMode="auto">
        <a:xfrm>
          <a:off x="10410825" y="23717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8</xdr:row>
      <xdr:rowOff>0</xdr:rowOff>
    </xdr:from>
    <xdr:to>
      <xdr:col>11</xdr:col>
      <xdr:colOff>9525</xdr:colOff>
      <xdr:row>8</xdr:row>
      <xdr:rowOff>9525</xdr:rowOff>
    </xdr:to>
    <xdr:pic>
      <xdr:nvPicPr>
        <xdr:cNvPr id="31" name="Picture 30" descr="http://d.adroll.com/cm/w/out">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744075" y="21812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19050</xdr:colOff>
      <xdr:row>8</xdr:row>
      <xdr:rowOff>0</xdr:rowOff>
    </xdr:from>
    <xdr:to>
      <xdr:col>11</xdr:col>
      <xdr:colOff>28575</xdr:colOff>
      <xdr:row>8</xdr:row>
      <xdr:rowOff>9525</xdr:rowOff>
    </xdr:to>
    <xdr:sp macro="" textlink="">
      <xdr:nvSpPr>
        <xdr:cNvPr id="1357" name="AutoShape 333" descr="http://d.adroll.com/cm/x/out">
          <a:extLst>
            <a:ext uri="{FF2B5EF4-FFF2-40B4-BE49-F238E27FC236}">
              <a16:creationId xmlns:a16="http://schemas.microsoft.com/office/drawing/2014/main" id="{00000000-0008-0000-0100-00004D050000}"/>
            </a:ext>
          </a:extLst>
        </xdr:cNvPr>
        <xdr:cNvSpPr>
          <a:spLocks noChangeAspect="1" noChangeArrowheads="1"/>
        </xdr:cNvSpPr>
      </xdr:nvSpPr>
      <xdr:spPr bwMode="auto">
        <a:xfrm>
          <a:off x="9763125" y="21812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38100</xdr:colOff>
      <xdr:row>8</xdr:row>
      <xdr:rowOff>0</xdr:rowOff>
    </xdr:from>
    <xdr:to>
      <xdr:col>11</xdr:col>
      <xdr:colOff>47625</xdr:colOff>
      <xdr:row>8</xdr:row>
      <xdr:rowOff>9525</xdr:rowOff>
    </xdr:to>
    <xdr:pic>
      <xdr:nvPicPr>
        <xdr:cNvPr id="33" name="Picture 32" descr="http://www.googleadservices.com/pagead/conversion/1011350631/?label=RVMHCInF3gYQ5_if4gM&amp;guid=ON&amp;script=0&amp;ord=8507963758213217">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782175" y="21812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57150</xdr:colOff>
      <xdr:row>8</xdr:row>
      <xdr:rowOff>0</xdr:rowOff>
    </xdr:from>
    <xdr:to>
      <xdr:col>11</xdr:col>
      <xdr:colOff>66675</xdr:colOff>
      <xdr:row>8</xdr:row>
      <xdr:rowOff>9525</xdr:rowOff>
    </xdr:to>
    <xdr:sp macro="" textlink="">
      <xdr:nvSpPr>
        <xdr:cNvPr id="1359" name="AutoShape 335" descr="http://d.adroll.com/cm/g/out?google_nid=adroll2">
          <a:extLst>
            <a:ext uri="{FF2B5EF4-FFF2-40B4-BE49-F238E27FC236}">
              <a16:creationId xmlns:a16="http://schemas.microsoft.com/office/drawing/2014/main" id="{00000000-0008-0000-0100-00004F050000}"/>
            </a:ext>
          </a:extLst>
        </xdr:cNvPr>
        <xdr:cNvSpPr>
          <a:spLocks noChangeAspect="1" noChangeArrowheads="1"/>
        </xdr:cNvSpPr>
      </xdr:nvSpPr>
      <xdr:spPr bwMode="auto">
        <a:xfrm>
          <a:off x="9801225" y="21812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76200</xdr:colOff>
      <xdr:row>8</xdr:row>
      <xdr:rowOff>0</xdr:rowOff>
    </xdr:from>
    <xdr:to>
      <xdr:col>11</xdr:col>
      <xdr:colOff>85725</xdr:colOff>
      <xdr:row>8</xdr:row>
      <xdr:rowOff>9525</xdr:rowOff>
    </xdr:to>
    <xdr:sp macro="" textlink="">
      <xdr:nvSpPr>
        <xdr:cNvPr id="1360" name="AutoShape 336" descr="http://ib.adnxs.com/seg?add=556715&amp;t=2">
          <a:extLst>
            <a:ext uri="{FF2B5EF4-FFF2-40B4-BE49-F238E27FC236}">
              <a16:creationId xmlns:a16="http://schemas.microsoft.com/office/drawing/2014/main" id="{00000000-0008-0000-0100-000050050000}"/>
            </a:ext>
          </a:extLst>
        </xdr:cNvPr>
        <xdr:cNvSpPr>
          <a:spLocks noChangeAspect="1" noChangeArrowheads="1"/>
        </xdr:cNvSpPr>
      </xdr:nvSpPr>
      <xdr:spPr bwMode="auto">
        <a:xfrm>
          <a:off x="9820275" y="21812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144355</xdr:colOff>
      <xdr:row>1</xdr:row>
      <xdr:rowOff>50099</xdr:rowOff>
    </xdr:from>
    <xdr:to>
      <xdr:col>10</xdr:col>
      <xdr:colOff>605886</xdr:colOff>
      <xdr:row>7</xdr:row>
      <xdr:rowOff>172359</xdr:rowOff>
    </xdr:to>
    <xdr:pic>
      <xdr:nvPicPr>
        <xdr:cNvPr id="36" name="Picture 35" descr="Positive High Voltage Hot Swap / Inrush Current Controller with Power Limiting - LM5069">
          <a:hlinkClick xmlns:r="http://schemas.openxmlformats.org/officeDocument/2006/relationships" r:id="rId11"/>
          <a:extLst>
            <a:ext uri="{FF2B5EF4-FFF2-40B4-BE49-F238E27FC236}">
              <a16:creationId xmlns:a16="http://schemas.microsoft.com/office/drawing/2014/main" id="{00000000-0008-0000-0100-000024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2191212" y="821170"/>
          <a:ext cx="2029509" cy="1265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571499</xdr:colOff>
      <xdr:row>32</xdr:row>
      <xdr:rowOff>148167</xdr:rowOff>
    </xdr:from>
    <xdr:to>
      <xdr:col>9</xdr:col>
      <xdr:colOff>190500</xdr:colOff>
      <xdr:row>44</xdr:row>
      <xdr:rowOff>136073</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11548970" y="6790121"/>
          <a:ext cx="2779404" cy="2265147"/>
          <a:chOff x="8000997" y="4398069"/>
          <a:chExt cx="2861885" cy="2548942"/>
        </a:xfrm>
      </xdr:grpSpPr>
      <xdr:grpSp>
        <xdr:nvGrpSpPr>
          <xdr:cNvPr id="12" name="Group 11">
            <a:extLst>
              <a:ext uri="{FF2B5EF4-FFF2-40B4-BE49-F238E27FC236}">
                <a16:creationId xmlns:a16="http://schemas.microsoft.com/office/drawing/2014/main" id="{00000000-0008-0000-0100-00000C000000}"/>
              </a:ext>
            </a:extLst>
          </xdr:cNvPr>
          <xdr:cNvGrpSpPr/>
        </xdr:nvGrpSpPr>
        <xdr:grpSpPr>
          <a:xfrm>
            <a:off x="8000997" y="4398069"/>
            <a:ext cx="2861885" cy="2548942"/>
            <a:chOff x="8000997" y="4398069"/>
            <a:chExt cx="2861885" cy="2548942"/>
          </a:xfrm>
        </xdr:grpSpPr>
        <xdr:grpSp>
          <xdr:nvGrpSpPr>
            <xdr:cNvPr id="20" name="Group 19">
              <a:extLst>
                <a:ext uri="{FF2B5EF4-FFF2-40B4-BE49-F238E27FC236}">
                  <a16:creationId xmlns:a16="http://schemas.microsoft.com/office/drawing/2014/main" id="{00000000-0008-0000-0100-000014000000}"/>
                </a:ext>
              </a:extLst>
            </xdr:cNvPr>
            <xdr:cNvGrpSpPr/>
          </xdr:nvGrpSpPr>
          <xdr:grpSpPr>
            <a:xfrm>
              <a:off x="8000997" y="4398069"/>
              <a:ext cx="2861885" cy="2548942"/>
              <a:chOff x="7507942" y="4356356"/>
              <a:chExt cx="2857500" cy="2548942"/>
            </a:xfrm>
          </xdr:grpSpPr>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3"/>
              <a:stretch>
                <a:fillRect/>
              </a:stretch>
            </xdr:blipFill>
            <xdr:spPr>
              <a:xfrm>
                <a:off x="7507942" y="4356356"/>
                <a:ext cx="2857500" cy="2548942"/>
              </a:xfrm>
              <a:prstGeom prst="rect">
                <a:avLst/>
              </a:prstGeom>
            </xdr:spPr>
          </xdr:pic>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8561294" y="5154706"/>
                <a:ext cx="593912" cy="2465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latin typeface="Arial" panose="020B0604020202020204" pitchFamily="34" charset="0"/>
                    <a:cs typeface="Arial" panose="020B0604020202020204" pitchFamily="34" charset="0"/>
                  </a:rPr>
                  <a:t>R</a:t>
                </a:r>
                <a:r>
                  <a:rPr lang="en-US" sz="1200" b="0" baseline="-25000">
                    <a:latin typeface="Arial" panose="020B0604020202020204" pitchFamily="34" charset="0"/>
                    <a:cs typeface="Arial" panose="020B0604020202020204" pitchFamily="34" charset="0"/>
                  </a:rPr>
                  <a:t>CL1</a:t>
                </a:r>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9397253" y="5038165"/>
                <a:ext cx="593912" cy="2465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latin typeface="Arial" panose="020B0604020202020204" pitchFamily="34" charset="0"/>
                    <a:cs typeface="Arial" panose="020B0604020202020204" pitchFamily="34" charset="0"/>
                  </a:rPr>
                  <a:t>R</a:t>
                </a:r>
                <a:r>
                  <a:rPr lang="en-US" sz="1200" b="0" baseline="-25000">
                    <a:latin typeface="Arial" panose="020B0604020202020204" pitchFamily="34" charset="0"/>
                    <a:cs typeface="Arial" panose="020B0604020202020204" pitchFamily="34" charset="0"/>
                  </a:rPr>
                  <a:t>CL2</a:t>
                </a:r>
              </a:p>
            </xdr:txBody>
          </xdr:sp>
        </xdr:grpSp>
        <xdr:sp macro="" textlink="">
          <xdr:nvSpPr>
            <xdr:cNvPr id="9" name="Rectangle 8">
              <a:extLst>
                <a:ext uri="{FF2B5EF4-FFF2-40B4-BE49-F238E27FC236}">
                  <a16:creationId xmlns:a16="http://schemas.microsoft.com/office/drawing/2014/main" id="{00000000-0008-0000-0100-000009000000}"/>
                </a:ext>
              </a:extLst>
            </xdr:cNvPr>
            <xdr:cNvSpPr/>
          </xdr:nvSpPr>
          <xdr:spPr>
            <a:xfrm>
              <a:off x="9177130" y="6493565"/>
              <a:ext cx="1432893" cy="323022"/>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4"/>
          <a:stretch>
            <a:fillRect/>
          </a:stretch>
        </xdr:blipFill>
        <xdr:spPr>
          <a:xfrm>
            <a:off x="8912674" y="6278217"/>
            <a:ext cx="1424743" cy="447261"/>
          </a:xfrm>
          <a:prstGeom prst="rect">
            <a:avLst/>
          </a:prstGeom>
        </xdr:spPr>
      </xdr:pic>
    </xdr:grpSp>
    <xdr:clientData/>
  </xdr:twoCellAnchor>
  <xdr:twoCellAnchor editAs="oneCell">
    <xdr:from>
      <xdr:col>1</xdr:col>
      <xdr:colOff>91109</xdr:colOff>
      <xdr:row>125</xdr:row>
      <xdr:rowOff>99397</xdr:rowOff>
    </xdr:from>
    <xdr:to>
      <xdr:col>4</xdr:col>
      <xdr:colOff>687057</xdr:colOff>
      <xdr:row>137</xdr:row>
      <xdr:rowOff>1704</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5"/>
        <a:stretch>
          <a:fillRect/>
        </a:stretch>
      </xdr:blipFill>
      <xdr:spPr>
        <a:xfrm>
          <a:off x="115957" y="20979854"/>
          <a:ext cx="4900769" cy="2186609"/>
        </a:xfrm>
        <a:prstGeom prst="rect">
          <a:avLst/>
        </a:prstGeom>
      </xdr:spPr>
    </xdr:pic>
    <xdr:clientData/>
  </xdr:twoCellAnchor>
  <xdr:oneCellAnchor>
    <xdr:from>
      <xdr:col>10</xdr:col>
      <xdr:colOff>160262</xdr:colOff>
      <xdr:row>35</xdr:row>
      <xdr:rowOff>104321</xdr:rowOff>
    </xdr:from>
    <xdr:ext cx="2676822" cy="565668"/>
    <mc:AlternateContent xmlns:mc="http://schemas.openxmlformats.org/markup-compatibility/2006" xmlns:a14="http://schemas.microsoft.com/office/drawing/2010/main">
      <mc:Choice Requires="a14">
        <xdr:sp macro="" textlink="">
          <xdr:nvSpPr>
            <xdr:cNvPr id="47" name="TextBox 46">
              <a:extLst>
                <a:ext uri="{FF2B5EF4-FFF2-40B4-BE49-F238E27FC236}">
                  <a16:creationId xmlns:a16="http://schemas.microsoft.com/office/drawing/2014/main" id="{62444F37-3F86-4908-A086-154550DB8191}"/>
                </a:ext>
              </a:extLst>
            </xdr:cNvPr>
            <xdr:cNvSpPr txBox="1"/>
          </xdr:nvSpPr>
          <xdr:spPr>
            <a:xfrm>
              <a:off x="13740191" y="7352392"/>
              <a:ext cx="2676822" cy="565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IN" sz="180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𝑆</m:t>
                        </m:r>
                        <m:r>
                          <a:rPr lang="en-IN" sz="1800" b="0" i="1">
                            <a:latin typeface="Cambria Math" panose="02040503050406030204" pitchFamily="18" charset="0"/>
                          </a:rPr>
                          <m:t>,</m:t>
                        </m:r>
                        <m:r>
                          <a:rPr lang="en-IN" sz="1800" b="0" i="1">
                            <a:latin typeface="Cambria Math" panose="02040503050406030204" pitchFamily="18" charset="0"/>
                          </a:rPr>
                          <m:t>𝐸𝐹𝐹</m:t>
                        </m:r>
                      </m:sub>
                    </m:sSub>
                    <m:r>
                      <a:rPr lang="en-IN" sz="1800" b="0" i="1">
                        <a:latin typeface="Cambria Math" panose="02040503050406030204" pitchFamily="18" charset="0"/>
                      </a:rPr>
                      <m:t>= </m:t>
                    </m:r>
                    <m:sSub>
                      <m:sSubPr>
                        <m:ctrlPr>
                          <a:rPr lang="en-IN" sz="1800" b="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𝑆</m:t>
                        </m:r>
                      </m:sub>
                    </m:sSub>
                    <m:r>
                      <a:rPr lang="en-IN" sz="1800" b="0" i="1">
                        <a:latin typeface="Cambria Math" panose="02040503050406030204" pitchFamily="18" charset="0"/>
                      </a:rPr>
                      <m:t>∗</m:t>
                    </m:r>
                    <m:f>
                      <m:fPr>
                        <m:ctrlPr>
                          <a:rPr lang="en-IN" sz="1800" b="0" i="1">
                            <a:latin typeface="Cambria Math" panose="02040503050406030204" pitchFamily="18" charset="0"/>
                          </a:rPr>
                        </m:ctrlPr>
                      </m:fPr>
                      <m:num>
                        <m:sSub>
                          <m:sSubPr>
                            <m:ctrlPr>
                              <a:rPr lang="en-IN" sz="1800" b="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𝐶𝐿</m:t>
                            </m:r>
                            <m:r>
                              <a:rPr lang="en-IN" sz="1800" b="0" i="1">
                                <a:latin typeface="Cambria Math" panose="02040503050406030204" pitchFamily="18" charset="0"/>
                              </a:rPr>
                              <m:t>1</m:t>
                            </m:r>
                          </m:sub>
                        </m:sSub>
                      </m:num>
                      <m:den>
                        <m:sSub>
                          <m:sSubPr>
                            <m:ctrlPr>
                              <a:rPr lang="en-IN" sz="1800" b="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𝐶𝐿</m:t>
                            </m:r>
                            <m:r>
                              <a:rPr lang="en-IN" sz="1800" b="0" i="1">
                                <a:latin typeface="Cambria Math" panose="02040503050406030204" pitchFamily="18" charset="0"/>
                              </a:rPr>
                              <m:t>1</m:t>
                            </m:r>
                          </m:sub>
                        </m:sSub>
                        <m:r>
                          <a:rPr lang="en-IN" sz="1800" b="0" i="1">
                            <a:latin typeface="Cambria Math" panose="02040503050406030204" pitchFamily="18" charset="0"/>
                          </a:rPr>
                          <m:t>+ </m:t>
                        </m:r>
                        <m:sSub>
                          <m:sSubPr>
                            <m:ctrlPr>
                              <a:rPr lang="en-IN" sz="1800" b="0" i="1">
                                <a:latin typeface="Cambria Math" panose="02040503050406030204" pitchFamily="18" charset="0"/>
                              </a:rPr>
                            </m:ctrlPr>
                          </m:sSubPr>
                          <m:e>
                            <m:r>
                              <a:rPr lang="en-IN" sz="1800" b="0" i="1">
                                <a:latin typeface="Cambria Math" panose="02040503050406030204" pitchFamily="18" charset="0"/>
                              </a:rPr>
                              <m:t>𝑅</m:t>
                            </m:r>
                          </m:e>
                          <m:sub>
                            <m:r>
                              <a:rPr lang="en-IN" sz="1800" b="0" i="1">
                                <a:latin typeface="Cambria Math" panose="02040503050406030204" pitchFamily="18" charset="0"/>
                              </a:rPr>
                              <m:t>𝐶𝐿</m:t>
                            </m:r>
                            <m:r>
                              <a:rPr lang="en-IN" sz="1800" b="0" i="1">
                                <a:latin typeface="Cambria Math" panose="02040503050406030204" pitchFamily="18" charset="0"/>
                              </a:rPr>
                              <m:t>2</m:t>
                            </m:r>
                          </m:sub>
                        </m:sSub>
                      </m:den>
                    </m:f>
                  </m:oMath>
                </m:oMathPara>
              </a14:m>
              <a:endParaRPr lang="en-IN" sz="1800"/>
            </a:p>
          </xdr:txBody>
        </xdr:sp>
      </mc:Choice>
      <mc:Fallback xmlns="">
        <xdr:sp macro="" textlink="">
          <xdr:nvSpPr>
            <xdr:cNvPr id="47" name="TextBox 46">
              <a:extLst>
                <a:ext uri="{FF2B5EF4-FFF2-40B4-BE49-F238E27FC236}">
                  <a16:creationId xmlns:a16="http://schemas.microsoft.com/office/drawing/2014/main" id="{62444F37-3F86-4908-A086-154550DB8191}"/>
                </a:ext>
              </a:extLst>
            </xdr:cNvPr>
            <xdr:cNvSpPr txBox="1"/>
          </xdr:nvSpPr>
          <xdr:spPr>
            <a:xfrm>
              <a:off x="13740191" y="7352392"/>
              <a:ext cx="2676822" cy="5656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IN" sz="1800" b="0" i="0">
                  <a:latin typeface="Cambria Math" panose="02040503050406030204" pitchFamily="18" charset="0"/>
                </a:rPr>
                <a:t>𝑅_(𝑆,𝐸𝐹𝐹)= 𝑅_𝑆∗𝑅_𝐶𝐿1/(𝑅_𝐶𝐿1+ 𝑅_𝐶𝐿2 )</a:t>
              </a:r>
              <a:endParaRPr lang="en-IN" sz="1800"/>
            </a:p>
          </xdr:txBody>
        </xdr:sp>
      </mc:Fallback>
    </mc:AlternateContent>
    <xdr:clientData/>
  </xdr:oneCellAnchor>
  <xdr:twoCellAnchor>
    <xdr:from>
      <xdr:col>7</xdr:col>
      <xdr:colOff>677334</xdr:colOff>
      <xdr:row>101</xdr:row>
      <xdr:rowOff>37706</xdr:rowOff>
    </xdr:from>
    <xdr:to>
      <xdr:col>39</xdr:col>
      <xdr:colOff>423333</xdr:colOff>
      <xdr:row>121</xdr:row>
      <xdr:rowOff>190149</xdr:rowOff>
    </xdr:to>
    <xdr:grpSp>
      <xdr:nvGrpSpPr>
        <xdr:cNvPr id="1345" name="Group 1344">
          <a:extLst>
            <a:ext uri="{FF2B5EF4-FFF2-40B4-BE49-F238E27FC236}">
              <a16:creationId xmlns:a16="http://schemas.microsoft.com/office/drawing/2014/main" id="{A9338DCE-E30F-46DE-927C-86832F98D3A3}"/>
            </a:ext>
          </a:extLst>
        </xdr:cNvPr>
        <xdr:cNvGrpSpPr/>
      </xdr:nvGrpSpPr>
      <xdr:grpSpPr>
        <a:xfrm>
          <a:off x="11654805" y="19700809"/>
          <a:ext cx="6745597" cy="3947846"/>
          <a:chOff x="10255251" y="21236123"/>
          <a:chExt cx="5852582" cy="3962443"/>
        </a:xfrm>
      </xdr:grpSpPr>
      <xdr:grpSp>
        <xdr:nvGrpSpPr>
          <xdr:cNvPr id="17" name="Group 16">
            <a:extLst>
              <a:ext uri="{FF2B5EF4-FFF2-40B4-BE49-F238E27FC236}">
                <a16:creationId xmlns:a16="http://schemas.microsoft.com/office/drawing/2014/main" id="{4F9164CD-EA45-450D-9B0D-B93B3A96CD97}"/>
              </a:ext>
            </a:extLst>
          </xdr:cNvPr>
          <xdr:cNvGrpSpPr/>
        </xdr:nvGrpSpPr>
        <xdr:grpSpPr>
          <a:xfrm>
            <a:off x="10255251" y="21236123"/>
            <a:ext cx="5852582" cy="1803794"/>
            <a:chOff x="9951695" y="21172623"/>
            <a:chExt cx="5633593" cy="1803794"/>
          </a:xfrm>
        </xdr:grpSpPr>
        <xdr:grpSp>
          <xdr:nvGrpSpPr>
            <xdr:cNvPr id="7" name="Group 6">
              <a:extLst>
                <a:ext uri="{FF2B5EF4-FFF2-40B4-BE49-F238E27FC236}">
                  <a16:creationId xmlns:a16="http://schemas.microsoft.com/office/drawing/2014/main" id="{00000000-0008-0000-0100-000007000000}"/>
                </a:ext>
              </a:extLst>
            </xdr:cNvPr>
            <xdr:cNvGrpSpPr/>
          </xdr:nvGrpSpPr>
          <xdr:grpSpPr>
            <a:xfrm>
              <a:off x="9951695" y="21172623"/>
              <a:ext cx="2589555" cy="1803794"/>
              <a:chOff x="7873187" y="15693217"/>
              <a:chExt cx="2797322" cy="1973621"/>
            </a:xfrm>
          </xdr:grpSpPr>
          <xdr:pic>
            <xdr:nvPicPr>
              <xdr:cNvPr id="1253" name="Picture 229">
                <a:extLst>
                  <a:ext uri="{FF2B5EF4-FFF2-40B4-BE49-F238E27FC236}">
                    <a16:creationId xmlns:a16="http://schemas.microsoft.com/office/drawing/2014/main" id="{00000000-0008-0000-0100-0000E5040000}"/>
                  </a:ext>
                </a:extLst>
              </xdr:cNvPr>
              <xdr:cNvPicPr>
                <a:picLocks noChangeAspect="1" noChangeArrowheads="1"/>
              </xdr:cNvPicPr>
            </xdr:nvPicPr>
            <xdr:blipFill rotWithShape="1">
              <a:blip xmlns:r="http://schemas.openxmlformats.org/officeDocument/2006/relationships" r:embed="rId16" cstate="print"/>
              <a:srcRect t="87769"/>
              <a:stretch/>
            </xdr:blipFill>
            <xdr:spPr bwMode="auto">
              <a:xfrm>
                <a:off x="7873187" y="17443174"/>
                <a:ext cx="2797322" cy="223664"/>
              </a:xfrm>
              <a:prstGeom prst="rect">
                <a:avLst/>
              </a:prstGeom>
              <a:noFill/>
            </xdr:spPr>
          </xdr:pic>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7"/>
              <a:stretch>
                <a:fillRect/>
              </a:stretch>
            </xdr:blipFill>
            <xdr:spPr>
              <a:xfrm>
                <a:off x="7887218" y="15693217"/>
                <a:ext cx="2764216" cy="1760647"/>
              </a:xfrm>
              <a:prstGeom prst="rect">
                <a:avLst/>
              </a:prstGeom>
            </xdr:spPr>
          </xdr:pic>
        </xdr:grpSp>
        <xdr:grpSp>
          <xdr:nvGrpSpPr>
            <xdr:cNvPr id="15" name="Group 14">
              <a:extLst>
                <a:ext uri="{FF2B5EF4-FFF2-40B4-BE49-F238E27FC236}">
                  <a16:creationId xmlns:a16="http://schemas.microsoft.com/office/drawing/2014/main" id="{EEFCD3BF-CE80-4A82-8B6C-19C9115F9DD5}"/>
                </a:ext>
              </a:extLst>
            </xdr:cNvPr>
            <xdr:cNvGrpSpPr/>
          </xdr:nvGrpSpPr>
          <xdr:grpSpPr>
            <a:xfrm>
              <a:off x="12721166" y="21219584"/>
              <a:ext cx="2864122" cy="1612157"/>
              <a:chOff x="12721166" y="21219584"/>
              <a:chExt cx="2864122" cy="1612157"/>
            </a:xfrm>
          </xdr:grpSpPr>
          <mc:AlternateContent xmlns:mc="http://schemas.openxmlformats.org/markup-compatibility/2006" xmlns:a14="http://schemas.microsoft.com/office/drawing/2010/main">
            <mc:Choice Requires="a14">
              <xdr:sp macro="" textlink="">
                <xdr:nvSpPr>
                  <xdr:cNvPr id="48" name="TextBox 47">
                    <a:extLst>
                      <a:ext uri="{FF2B5EF4-FFF2-40B4-BE49-F238E27FC236}">
                        <a16:creationId xmlns:a16="http://schemas.microsoft.com/office/drawing/2014/main" id="{897DAF88-855A-418D-9C3C-111C487A4D0B}"/>
                      </a:ext>
                    </a:extLst>
                  </xdr:cNvPr>
                  <xdr:cNvSpPr txBox="1"/>
                </xdr:nvSpPr>
                <xdr:spPr>
                  <a:xfrm>
                    <a:off x="12721166" y="21219584"/>
                    <a:ext cx="2198719"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1</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𝑢𝑝𝑝𝑒𝑟</m:t>
                                  </m:r>
                                  <m:r>
                                    <a:rPr lang="en-IN" sz="1200" b="0" i="1">
                                      <a:latin typeface="Cambria Math" panose="02040503050406030204" pitchFamily="18" charset="0"/>
                                    </a:rPr>
                                    <m:t>)</m:t>
                                  </m:r>
                                </m:sub>
                              </m:sSub>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num>
                            <m:den>
                              <m:r>
                                <a:rPr lang="en-IN" sz="1200" b="0" i="1">
                                  <a:latin typeface="Cambria Math" panose="02040503050406030204" pitchFamily="18" charset="0"/>
                                </a:rPr>
                                <m:t>21</m:t>
                              </m:r>
                              <m:r>
                                <a:rPr lang="en-IN" sz="1200" b="0" i="1">
                                  <a:latin typeface="Cambria Math" panose="02040503050406030204" pitchFamily="18" charset="0"/>
                                  <a:ea typeface="Cambria Math" panose="02040503050406030204" pitchFamily="18" charset="0"/>
                                </a:rPr>
                                <m:t>𝜇</m:t>
                              </m:r>
                              <m:r>
                                <a:rPr lang="en-IN" sz="1200" b="0" i="1">
                                  <a:latin typeface="Cambria Math" panose="02040503050406030204" pitchFamily="18" charset="0"/>
                                  <a:ea typeface="Cambria Math" panose="02040503050406030204" pitchFamily="18" charset="0"/>
                                </a:rPr>
                                <m:t>𝐴</m:t>
                              </m:r>
                            </m:den>
                          </m:f>
                        </m:oMath>
                      </m:oMathPara>
                    </a14:m>
                    <a:endParaRPr lang="en-IN" sz="1200" b="0"/>
                  </a:p>
                </xdr:txBody>
              </xdr:sp>
            </mc:Choice>
            <mc:Fallback xmlns="">
              <xdr:sp macro="" textlink="">
                <xdr:nvSpPr>
                  <xdr:cNvPr id="48" name="TextBox 47">
                    <a:extLst>
                      <a:ext uri="{FF2B5EF4-FFF2-40B4-BE49-F238E27FC236}">
                        <a16:creationId xmlns:a16="http://schemas.microsoft.com/office/drawing/2014/main" id="{897DAF88-855A-418D-9C3C-111C487A4D0B}"/>
                      </a:ext>
                    </a:extLst>
                  </xdr:cNvPr>
                  <xdr:cNvSpPr txBox="1"/>
                </xdr:nvSpPr>
                <xdr:spPr>
                  <a:xfrm>
                    <a:off x="12721166" y="21219584"/>
                    <a:ext cx="2198719"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r>
                      <a:rPr lang="en-IN" sz="1200" b="0" i="0">
                        <a:latin typeface="Cambria Math" panose="02040503050406030204" pitchFamily="18" charset="0"/>
                      </a:rPr>
                      <a:t>𝑅_1=(〖𝑈𝑉𝐿𝑂〗_((𝑢𝑝𝑝𝑒𝑟))−〖𝑈𝑉𝐿𝑂〗_((𝑙𝑜𝑤𝑒𝑟)))/21</a:t>
                    </a:r>
                    <a:r>
                      <a:rPr lang="en-IN" sz="1200" b="0" i="0">
                        <a:latin typeface="Cambria Math" panose="02040503050406030204" pitchFamily="18" charset="0"/>
                        <a:ea typeface="Cambria Math" panose="02040503050406030204" pitchFamily="18" charset="0"/>
                      </a:rPr>
                      <a:t>𝜇𝐴</a:t>
                    </a:r>
                    <a:endParaRPr lang="en-IN" sz="1200" b="0"/>
                  </a:p>
                </xdr:txBody>
              </xdr:sp>
            </mc:Fallback>
          </mc:AlternateContent>
          <mc:AlternateContent xmlns:mc="http://schemas.openxmlformats.org/markup-compatibility/2006" xmlns:a14="http://schemas.microsoft.com/office/drawing/2010/main">
            <mc:Choice Requires="a14">
              <xdr:sp macro="" textlink="">
                <xdr:nvSpPr>
                  <xdr:cNvPr id="49" name="TextBox 48">
                    <a:extLst>
                      <a:ext uri="{FF2B5EF4-FFF2-40B4-BE49-F238E27FC236}">
                        <a16:creationId xmlns:a16="http://schemas.microsoft.com/office/drawing/2014/main" id="{2865C637-F19A-4764-86FC-D64D2EACC15A}"/>
                      </a:ext>
                    </a:extLst>
                  </xdr:cNvPr>
                  <xdr:cNvSpPr txBox="1"/>
                </xdr:nvSpPr>
                <xdr:spPr>
                  <a:xfrm>
                    <a:off x="12721166" y="21791710"/>
                    <a:ext cx="2121515" cy="402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2</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r>
                                <a:rPr lang="en-IN" sz="1200" b="0" i="1">
                                  <a:latin typeface="Cambria Math" panose="02040503050406030204" pitchFamily="18" charset="0"/>
                                </a:rPr>
                                <m:t>2.5</m:t>
                              </m:r>
                              <m:r>
                                <a:rPr lang="en-IN" sz="1200" b="0" i="1">
                                  <a:latin typeface="Cambria Math" panose="02040503050406030204" pitchFamily="18" charset="0"/>
                                </a:rPr>
                                <m:t>𝑉</m:t>
                              </m:r>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1</m:t>
                                  </m:r>
                                </m:sub>
                              </m:sSub>
                            </m:num>
                            <m:den>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r>
                                <a:rPr lang="en-IN" sz="1200" b="0" i="1">
                                  <a:latin typeface="Cambria Math" panose="02040503050406030204" pitchFamily="18" charset="0"/>
                                </a:rPr>
                                <m:t>−2.5</m:t>
                              </m:r>
                              <m:r>
                                <a:rPr lang="en-IN" sz="1200" b="0" i="1">
                                  <a:latin typeface="Cambria Math" panose="02040503050406030204" pitchFamily="18" charset="0"/>
                                </a:rPr>
                                <m:t>𝑉</m:t>
                              </m:r>
                            </m:den>
                          </m:f>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3</m:t>
                              </m:r>
                            </m:sub>
                          </m:sSub>
                        </m:oMath>
                      </m:oMathPara>
                    </a14:m>
                    <a:endParaRPr lang="en-IN" sz="1200"/>
                  </a:p>
                </xdr:txBody>
              </xdr:sp>
            </mc:Choice>
            <mc:Fallback xmlns="">
              <xdr:sp macro="" textlink="">
                <xdr:nvSpPr>
                  <xdr:cNvPr id="49" name="TextBox 48">
                    <a:extLst>
                      <a:ext uri="{FF2B5EF4-FFF2-40B4-BE49-F238E27FC236}">
                        <a16:creationId xmlns:a16="http://schemas.microsoft.com/office/drawing/2014/main" id="{2865C637-F19A-4764-86FC-D64D2EACC15A}"/>
                      </a:ext>
                    </a:extLst>
                  </xdr:cNvPr>
                  <xdr:cNvSpPr txBox="1"/>
                </xdr:nvSpPr>
                <xdr:spPr>
                  <a:xfrm>
                    <a:off x="12721166" y="21791710"/>
                    <a:ext cx="2121515" cy="402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r>
                      <a:rPr lang="en-IN" sz="1200" b="0" i="0">
                        <a:latin typeface="Cambria Math" panose="02040503050406030204" pitchFamily="18" charset="0"/>
                      </a:rPr>
                      <a:t>𝑅_2=(2.5𝑉∗𝑅_1)/(〖𝑈𝑉𝐿𝑂〗_((𝑙𝑜𝑤𝑒𝑟))−2.5𝑉)−𝑅_3</a:t>
                    </a:r>
                    <a:endParaRPr lang="en-IN" sz="1200"/>
                  </a:p>
                </xdr:txBody>
              </xdr:sp>
            </mc:Fallback>
          </mc:AlternateContent>
          <mc:AlternateContent xmlns:mc="http://schemas.openxmlformats.org/markup-compatibility/2006" xmlns:a14="http://schemas.microsoft.com/office/drawing/2010/main">
            <mc:Choice Requires="a14">
              <xdr:sp macro="" textlink="">
                <xdr:nvSpPr>
                  <xdr:cNvPr id="50" name="TextBox 49">
                    <a:extLst>
                      <a:ext uri="{FF2B5EF4-FFF2-40B4-BE49-F238E27FC236}">
                        <a16:creationId xmlns:a16="http://schemas.microsoft.com/office/drawing/2014/main" id="{F21B76D2-49F7-4C3F-B382-00C72AAC0C41}"/>
                      </a:ext>
                    </a:extLst>
                  </xdr:cNvPr>
                  <xdr:cNvSpPr txBox="1"/>
                </xdr:nvSpPr>
                <xdr:spPr>
                  <a:xfrm>
                    <a:off x="12721166" y="22421050"/>
                    <a:ext cx="2864122" cy="410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3</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r>
                                <a:rPr lang="en-IN" sz="1200" b="0" i="1">
                                  <a:latin typeface="Cambria Math" panose="02040503050406030204" pitchFamily="18" charset="0"/>
                                </a:rPr>
                                <m:t>2.5</m:t>
                              </m:r>
                              <m:r>
                                <a:rPr lang="en-IN" sz="1200" b="0" i="1">
                                  <a:latin typeface="Cambria Math" panose="02040503050406030204" pitchFamily="18" charset="0"/>
                                </a:rPr>
                                <m:t>𝑉</m:t>
                              </m:r>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1</m:t>
                                  </m:r>
                                </m:sub>
                              </m:sSub>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num>
                            <m:den>
                              <m:sSub>
                                <m:sSubPr>
                                  <m:ctrlPr>
                                    <a:rPr lang="en-IN" sz="1200" b="0" i="1">
                                      <a:latin typeface="Cambria Math" panose="02040503050406030204" pitchFamily="18" charset="0"/>
                                    </a:rPr>
                                  </m:ctrlPr>
                                </m:sSubPr>
                                <m:e>
                                  <m:r>
                                    <a:rPr lang="en-IN" sz="1200" b="0" i="1">
                                      <a:latin typeface="Cambria Math" panose="02040503050406030204" pitchFamily="18" charset="0"/>
                                    </a:rPr>
                                    <m:t>𝑂𝑉𝐿𝑂</m:t>
                                  </m:r>
                                </m:e>
                                <m:sub>
                                  <m:r>
                                    <a:rPr lang="en-IN" sz="1200" b="0" i="1">
                                      <a:latin typeface="Cambria Math" panose="02040503050406030204" pitchFamily="18" charset="0"/>
                                    </a:rPr>
                                    <m:t>(</m:t>
                                  </m:r>
                                  <m:r>
                                    <a:rPr lang="en-IN" sz="1200" b="0" i="1">
                                      <a:latin typeface="Cambria Math" panose="02040503050406030204" pitchFamily="18" charset="0"/>
                                    </a:rPr>
                                    <m:t>𝑢𝑝𝑝𝑒𝑟</m:t>
                                  </m:r>
                                  <m:r>
                                    <a:rPr lang="en-IN" sz="1200" b="0" i="1">
                                      <a:latin typeface="Cambria Math" panose="02040503050406030204" pitchFamily="18" charset="0"/>
                                    </a:rPr>
                                    <m:t>)</m:t>
                                  </m:r>
                                </m:sub>
                              </m:sSub>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d>
                                    <m:dPr>
                                      <m:ctrlPr>
                                        <a:rPr lang="en-IN" sz="1200" b="0" i="1">
                                          <a:latin typeface="Cambria Math" panose="02040503050406030204" pitchFamily="18" charset="0"/>
                                        </a:rPr>
                                      </m:ctrlPr>
                                    </m:dPr>
                                    <m:e>
                                      <m:r>
                                        <a:rPr lang="en-IN" sz="1200" b="0" i="1">
                                          <a:latin typeface="Cambria Math" panose="02040503050406030204" pitchFamily="18" charset="0"/>
                                        </a:rPr>
                                        <m:t>𝑙𝑜𝑤𝑒𝑟</m:t>
                                      </m:r>
                                    </m:e>
                                  </m:d>
                                </m:sub>
                              </m:sSub>
                              <m:r>
                                <a:rPr lang="en-IN" sz="1200" b="0" i="1">
                                  <a:latin typeface="Cambria Math" panose="02040503050406030204" pitchFamily="18" charset="0"/>
                                </a:rPr>
                                <m:t>−2.5</m:t>
                              </m:r>
                              <m:r>
                                <a:rPr lang="en-IN" sz="1200" b="0" i="1">
                                  <a:latin typeface="Cambria Math" panose="02040503050406030204" pitchFamily="18" charset="0"/>
                                </a:rPr>
                                <m:t>𝑉</m:t>
                              </m:r>
                              <m:r>
                                <a:rPr lang="en-IN" sz="1200" b="0" i="1">
                                  <a:latin typeface="Cambria Math" panose="02040503050406030204" pitchFamily="18" charset="0"/>
                                </a:rPr>
                                <m:t>)</m:t>
                              </m:r>
                            </m:den>
                          </m:f>
                        </m:oMath>
                      </m:oMathPara>
                    </a14:m>
                    <a:endParaRPr lang="en-IN" sz="1200"/>
                  </a:p>
                </xdr:txBody>
              </xdr:sp>
            </mc:Choice>
            <mc:Fallback xmlns="">
              <xdr:sp macro="" textlink="">
                <xdr:nvSpPr>
                  <xdr:cNvPr id="50" name="TextBox 49">
                    <a:extLst>
                      <a:ext uri="{FF2B5EF4-FFF2-40B4-BE49-F238E27FC236}">
                        <a16:creationId xmlns:a16="http://schemas.microsoft.com/office/drawing/2014/main" id="{F21B76D2-49F7-4C3F-B382-00C72AAC0C41}"/>
                      </a:ext>
                    </a:extLst>
                  </xdr:cNvPr>
                  <xdr:cNvSpPr txBox="1"/>
                </xdr:nvSpPr>
                <xdr:spPr>
                  <a:xfrm>
                    <a:off x="12721166" y="22421050"/>
                    <a:ext cx="2864122" cy="410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l"/>
                    <a:r>
                      <a:rPr lang="en-IN" sz="1200" b="0" i="0">
                        <a:latin typeface="Cambria Math" panose="02040503050406030204" pitchFamily="18" charset="0"/>
                      </a:rPr>
                      <a:t>𝑅_3=(2.5𝑉∗𝑅_1∗〖𝑈𝑉𝐿𝑂〗_((𝑙𝑜𝑤𝑒𝑟)))/(〖𝑂𝑉𝐿𝑂〗_((𝑢𝑝𝑝𝑒𝑟))∗(〖𝑈𝑉𝐿𝑂〗_((𝑙𝑜𝑤𝑒𝑟) )−2.5𝑉))</a:t>
                    </a:r>
                    <a:endParaRPr lang="en-IN" sz="1200"/>
                  </a:p>
                </xdr:txBody>
              </xdr:sp>
            </mc:Fallback>
          </mc:AlternateContent>
        </xdr:grpSp>
      </xdr:grpSp>
      <xdr:grpSp>
        <xdr:nvGrpSpPr>
          <xdr:cNvPr id="1344" name="Group 1343">
            <a:extLst>
              <a:ext uri="{FF2B5EF4-FFF2-40B4-BE49-F238E27FC236}">
                <a16:creationId xmlns:a16="http://schemas.microsoft.com/office/drawing/2014/main" id="{A3139E7A-D289-4914-B2A6-93D146010E76}"/>
              </a:ext>
            </a:extLst>
          </xdr:cNvPr>
          <xdr:cNvGrpSpPr/>
        </xdr:nvGrpSpPr>
        <xdr:grpSpPr>
          <a:xfrm>
            <a:off x="10255251" y="23346833"/>
            <a:ext cx="5217582" cy="1851733"/>
            <a:chOff x="9849099" y="23346833"/>
            <a:chExt cx="5003200" cy="1851733"/>
          </a:xfrm>
        </xdr:grpSpPr>
        <xdr:grpSp>
          <xdr:nvGrpSpPr>
            <xdr:cNvPr id="27" name="Group 26">
              <a:extLst>
                <a:ext uri="{FF2B5EF4-FFF2-40B4-BE49-F238E27FC236}">
                  <a16:creationId xmlns:a16="http://schemas.microsoft.com/office/drawing/2014/main" id="{00000000-0008-0000-0100-00001B000000}"/>
                </a:ext>
              </a:extLst>
            </xdr:cNvPr>
            <xdr:cNvGrpSpPr/>
          </xdr:nvGrpSpPr>
          <xdr:grpSpPr>
            <a:xfrm>
              <a:off x="9849099" y="23378583"/>
              <a:ext cx="2512233" cy="1809751"/>
              <a:chOff x="7880463" y="18111714"/>
              <a:chExt cx="2861764" cy="1978020"/>
            </a:xfrm>
          </xdr:grpSpPr>
          <xdr:pic>
            <xdr:nvPicPr>
              <xdr:cNvPr id="1254" name="Picture 230">
                <a:extLst>
                  <a:ext uri="{FF2B5EF4-FFF2-40B4-BE49-F238E27FC236}">
                    <a16:creationId xmlns:a16="http://schemas.microsoft.com/office/drawing/2014/main" id="{00000000-0008-0000-0100-0000E6040000}"/>
                  </a:ext>
                </a:extLst>
              </xdr:cNvPr>
              <xdr:cNvPicPr>
                <a:picLocks noChangeAspect="1" noChangeArrowheads="1"/>
              </xdr:cNvPicPr>
            </xdr:nvPicPr>
            <xdr:blipFill rotWithShape="1">
              <a:blip xmlns:r="http://schemas.openxmlformats.org/officeDocument/2006/relationships" r:embed="rId18" cstate="print"/>
              <a:srcRect t="90397"/>
              <a:stretch/>
            </xdr:blipFill>
            <xdr:spPr bwMode="auto">
              <a:xfrm>
                <a:off x="7949257" y="19911391"/>
                <a:ext cx="2792970" cy="178343"/>
              </a:xfrm>
              <a:prstGeom prst="rect">
                <a:avLst/>
              </a:prstGeom>
              <a:noFill/>
            </xdr:spPr>
          </xdr:pic>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9"/>
              <a:stretch>
                <a:fillRect/>
              </a:stretch>
            </xdr:blipFill>
            <xdr:spPr>
              <a:xfrm>
                <a:off x="7880463" y="18111714"/>
                <a:ext cx="2845515" cy="1736436"/>
              </a:xfrm>
              <a:prstGeom prst="rect">
                <a:avLst/>
              </a:prstGeom>
            </xdr:spPr>
          </xdr:pic>
        </xdr:grpSp>
        <xdr:grpSp>
          <xdr:nvGrpSpPr>
            <xdr:cNvPr id="28" name="Group 27">
              <a:extLst>
                <a:ext uri="{FF2B5EF4-FFF2-40B4-BE49-F238E27FC236}">
                  <a16:creationId xmlns:a16="http://schemas.microsoft.com/office/drawing/2014/main" id="{6694B952-D944-4B41-BBFD-0AAB81942675}"/>
                </a:ext>
              </a:extLst>
            </xdr:cNvPr>
            <xdr:cNvGrpSpPr/>
          </xdr:nvGrpSpPr>
          <xdr:grpSpPr>
            <a:xfrm>
              <a:off x="12657666" y="23346833"/>
              <a:ext cx="2194633" cy="1851733"/>
              <a:chOff x="12816416" y="23346833"/>
              <a:chExt cx="2194633" cy="1851733"/>
            </a:xfrm>
          </xdr:grpSpPr>
          <mc:AlternateContent xmlns:mc="http://schemas.openxmlformats.org/markup-compatibility/2006" xmlns:a14="http://schemas.microsoft.com/office/drawing/2010/main">
            <mc:Choice Requires="a14">
              <xdr:sp macro="" textlink="">
                <xdr:nvSpPr>
                  <xdr:cNvPr id="53" name="TextBox 52">
                    <a:extLst>
                      <a:ext uri="{FF2B5EF4-FFF2-40B4-BE49-F238E27FC236}">
                        <a16:creationId xmlns:a16="http://schemas.microsoft.com/office/drawing/2014/main" id="{29E0EE9F-141C-4970-BB33-2E313E30B4D3}"/>
                      </a:ext>
                    </a:extLst>
                  </xdr:cNvPr>
                  <xdr:cNvSpPr txBox="1"/>
                </xdr:nvSpPr>
                <xdr:spPr>
                  <a:xfrm>
                    <a:off x="12816416" y="23346833"/>
                    <a:ext cx="2127137"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en-IN" sz="1200" i="1">
                                  <a:solidFill>
                                    <a:schemeClr val="tx1"/>
                                  </a:solidFill>
                                  <a:effectLst/>
                                  <a:latin typeface="Cambria Math" panose="02040503050406030204" pitchFamily="18" charset="0"/>
                                  <a:ea typeface="+mn-ea"/>
                                  <a:cs typeface="+mn-cs"/>
                                </a:rPr>
                              </m:ctrlPr>
                            </m:sSubPr>
                            <m:e>
                              <m:r>
                                <a:rPr lang="en-IN" sz="1200" b="0" i="1">
                                  <a:solidFill>
                                    <a:schemeClr val="tx1"/>
                                  </a:solidFill>
                                  <a:effectLst/>
                                  <a:latin typeface="Cambria Math" panose="02040503050406030204" pitchFamily="18" charset="0"/>
                                  <a:ea typeface="+mn-ea"/>
                                  <a:cs typeface="+mn-cs"/>
                                </a:rPr>
                                <m:t>𝑅</m:t>
                              </m:r>
                            </m:e>
                            <m:sub>
                              <m:r>
                                <a:rPr lang="en-IN" sz="1200" b="0" i="1">
                                  <a:solidFill>
                                    <a:schemeClr val="tx1"/>
                                  </a:solidFill>
                                  <a:effectLst/>
                                  <a:latin typeface="Cambria Math" panose="02040503050406030204" pitchFamily="18" charset="0"/>
                                  <a:ea typeface="+mn-ea"/>
                                  <a:cs typeface="+mn-cs"/>
                                </a:rPr>
                                <m:t>1</m:t>
                              </m:r>
                            </m:sub>
                          </m:sSub>
                          <m:r>
                            <a:rPr lang="en-IN" sz="1200" b="0" i="1">
                              <a:solidFill>
                                <a:schemeClr val="tx1"/>
                              </a:solidFill>
                              <a:effectLst/>
                              <a:latin typeface="Cambria Math" panose="02040503050406030204" pitchFamily="18" charset="0"/>
                              <a:ea typeface="+mn-ea"/>
                              <a:cs typeface="+mn-cs"/>
                            </a:rPr>
                            <m:t>=</m:t>
                          </m:r>
                          <m:f>
                            <m:fPr>
                              <m:ctrlPr>
                                <a:rPr lang="en-IN" sz="1200" b="0" i="1">
                                  <a:solidFill>
                                    <a:schemeClr val="tx1"/>
                                  </a:solidFill>
                                  <a:effectLst/>
                                  <a:latin typeface="Cambria Math" panose="02040503050406030204" pitchFamily="18" charset="0"/>
                                  <a:ea typeface="+mn-ea"/>
                                  <a:cs typeface="+mn-cs"/>
                                </a:rPr>
                              </m:ctrlPr>
                            </m:fPr>
                            <m:num>
                              <m:sSub>
                                <m:sSubPr>
                                  <m:ctrlPr>
                                    <a:rPr lang="en-IN" sz="1200" b="0" i="1">
                                      <a:solidFill>
                                        <a:schemeClr val="tx1"/>
                                      </a:solidFill>
                                      <a:effectLst/>
                                      <a:latin typeface="Cambria Math" panose="02040503050406030204" pitchFamily="18" charset="0"/>
                                      <a:ea typeface="+mn-ea"/>
                                      <a:cs typeface="+mn-cs"/>
                                    </a:rPr>
                                  </m:ctrlPr>
                                </m:sSubPr>
                                <m:e>
                                  <m:r>
                                    <a:rPr lang="en-IN" sz="1200" b="0" i="1">
                                      <a:solidFill>
                                        <a:schemeClr val="tx1"/>
                                      </a:solidFill>
                                      <a:effectLst/>
                                      <a:latin typeface="Cambria Math" panose="02040503050406030204" pitchFamily="18" charset="0"/>
                                      <a:ea typeface="+mn-ea"/>
                                      <a:cs typeface="+mn-cs"/>
                                    </a:rPr>
                                    <m:t>𝑈𝑉𝐿𝑂</m:t>
                                  </m:r>
                                </m:e>
                                <m:sub>
                                  <m:r>
                                    <a:rPr lang="en-IN" sz="1200" b="0" i="1">
                                      <a:solidFill>
                                        <a:schemeClr val="tx1"/>
                                      </a:solidFill>
                                      <a:effectLst/>
                                      <a:latin typeface="Cambria Math" panose="02040503050406030204" pitchFamily="18" charset="0"/>
                                      <a:ea typeface="+mn-ea"/>
                                      <a:cs typeface="+mn-cs"/>
                                    </a:rPr>
                                    <m:t>(</m:t>
                                  </m:r>
                                  <m:r>
                                    <a:rPr lang="en-IN" sz="1200" b="0" i="1">
                                      <a:solidFill>
                                        <a:schemeClr val="tx1"/>
                                      </a:solidFill>
                                      <a:effectLst/>
                                      <a:latin typeface="Cambria Math" panose="02040503050406030204" pitchFamily="18" charset="0"/>
                                      <a:ea typeface="+mn-ea"/>
                                      <a:cs typeface="+mn-cs"/>
                                    </a:rPr>
                                    <m:t>𝑢𝑝𝑝𝑒𝑟</m:t>
                                  </m:r>
                                  <m:r>
                                    <a:rPr lang="en-IN" sz="1200" b="0" i="1">
                                      <a:solidFill>
                                        <a:schemeClr val="tx1"/>
                                      </a:solidFill>
                                      <a:effectLst/>
                                      <a:latin typeface="Cambria Math" panose="02040503050406030204" pitchFamily="18" charset="0"/>
                                      <a:ea typeface="+mn-ea"/>
                                      <a:cs typeface="+mn-cs"/>
                                    </a:rPr>
                                    <m:t>)</m:t>
                                  </m:r>
                                </m:sub>
                              </m:sSub>
                              <m:r>
                                <a:rPr lang="en-IN" sz="1200" b="0" i="1">
                                  <a:solidFill>
                                    <a:schemeClr val="tx1"/>
                                  </a:solidFill>
                                  <a:effectLst/>
                                  <a:latin typeface="Cambria Math" panose="02040503050406030204" pitchFamily="18" charset="0"/>
                                  <a:ea typeface="+mn-ea"/>
                                  <a:cs typeface="+mn-cs"/>
                                </a:rPr>
                                <m:t>−</m:t>
                              </m:r>
                              <m:sSub>
                                <m:sSubPr>
                                  <m:ctrlPr>
                                    <a:rPr lang="en-IN" sz="1200" b="0" i="1">
                                      <a:solidFill>
                                        <a:schemeClr val="tx1"/>
                                      </a:solidFill>
                                      <a:effectLst/>
                                      <a:latin typeface="Cambria Math" panose="02040503050406030204" pitchFamily="18" charset="0"/>
                                      <a:ea typeface="+mn-ea"/>
                                      <a:cs typeface="+mn-cs"/>
                                    </a:rPr>
                                  </m:ctrlPr>
                                </m:sSubPr>
                                <m:e>
                                  <m:r>
                                    <a:rPr lang="en-IN" sz="1200" b="0" i="1">
                                      <a:solidFill>
                                        <a:schemeClr val="tx1"/>
                                      </a:solidFill>
                                      <a:effectLst/>
                                      <a:latin typeface="Cambria Math" panose="02040503050406030204" pitchFamily="18" charset="0"/>
                                      <a:ea typeface="+mn-ea"/>
                                      <a:cs typeface="+mn-cs"/>
                                    </a:rPr>
                                    <m:t>𝑈𝑉𝐿𝑂</m:t>
                                  </m:r>
                                </m:e>
                                <m:sub>
                                  <m:r>
                                    <a:rPr lang="en-IN" sz="1200" b="0" i="1">
                                      <a:solidFill>
                                        <a:schemeClr val="tx1"/>
                                      </a:solidFill>
                                      <a:effectLst/>
                                      <a:latin typeface="Cambria Math" panose="02040503050406030204" pitchFamily="18" charset="0"/>
                                      <a:ea typeface="+mn-ea"/>
                                      <a:cs typeface="+mn-cs"/>
                                    </a:rPr>
                                    <m:t>(</m:t>
                                  </m:r>
                                  <m:r>
                                    <a:rPr lang="en-IN" sz="1200" b="0" i="1">
                                      <a:solidFill>
                                        <a:schemeClr val="tx1"/>
                                      </a:solidFill>
                                      <a:effectLst/>
                                      <a:latin typeface="Cambria Math" panose="02040503050406030204" pitchFamily="18" charset="0"/>
                                      <a:ea typeface="+mn-ea"/>
                                      <a:cs typeface="+mn-cs"/>
                                    </a:rPr>
                                    <m:t>𝑙𝑜𝑤𝑒𝑟</m:t>
                                  </m:r>
                                  <m:r>
                                    <a:rPr lang="en-IN" sz="1200" b="0" i="1">
                                      <a:solidFill>
                                        <a:schemeClr val="tx1"/>
                                      </a:solidFill>
                                      <a:effectLst/>
                                      <a:latin typeface="Cambria Math" panose="02040503050406030204" pitchFamily="18" charset="0"/>
                                      <a:ea typeface="+mn-ea"/>
                                      <a:cs typeface="+mn-cs"/>
                                    </a:rPr>
                                    <m:t>)</m:t>
                                  </m:r>
                                </m:sub>
                              </m:sSub>
                            </m:num>
                            <m:den>
                              <m:r>
                                <a:rPr lang="en-IN" sz="1200" b="0" i="1">
                                  <a:solidFill>
                                    <a:schemeClr val="tx1"/>
                                  </a:solidFill>
                                  <a:effectLst/>
                                  <a:latin typeface="Cambria Math" panose="02040503050406030204" pitchFamily="18" charset="0"/>
                                  <a:ea typeface="+mn-ea"/>
                                  <a:cs typeface="+mn-cs"/>
                                </a:rPr>
                                <m:t>21</m:t>
                              </m:r>
                              <m:r>
                                <a:rPr lang="en-IN" sz="1200" b="0" i="1">
                                  <a:solidFill>
                                    <a:schemeClr val="tx1"/>
                                  </a:solidFill>
                                  <a:effectLst/>
                                  <a:latin typeface="Cambria Math" panose="02040503050406030204" pitchFamily="18" charset="0"/>
                                  <a:ea typeface="+mn-ea"/>
                                  <a:cs typeface="+mn-cs"/>
                                </a:rPr>
                                <m:t>𝜇</m:t>
                              </m:r>
                              <m:r>
                                <a:rPr lang="en-IN" sz="1200" b="0" i="1">
                                  <a:solidFill>
                                    <a:schemeClr val="tx1"/>
                                  </a:solidFill>
                                  <a:effectLst/>
                                  <a:latin typeface="Cambria Math" panose="02040503050406030204" pitchFamily="18" charset="0"/>
                                  <a:ea typeface="+mn-ea"/>
                                  <a:cs typeface="+mn-cs"/>
                                </a:rPr>
                                <m:t>𝐴</m:t>
                              </m:r>
                            </m:den>
                          </m:f>
                        </m:oMath>
                      </m:oMathPara>
                    </a14:m>
                    <a:endParaRPr lang="en-IN" sz="1200">
                      <a:effectLst/>
                    </a:endParaRPr>
                  </a:p>
                </xdr:txBody>
              </xdr:sp>
            </mc:Choice>
            <mc:Fallback xmlns="">
              <xdr:sp macro="" textlink="">
                <xdr:nvSpPr>
                  <xdr:cNvPr id="53" name="TextBox 52">
                    <a:extLst>
                      <a:ext uri="{FF2B5EF4-FFF2-40B4-BE49-F238E27FC236}">
                        <a16:creationId xmlns:a16="http://schemas.microsoft.com/office/drawing/2014/main" id="{29E0EE9F-141C-4970-BB33-2E313E30B4D3}"/>
                      </a:ext>
                    </a:extLst>
                  </xdr:cNvPr>
                  <xdr:cNvSpPr txBox="1"/>
                </xdr:nvSpPr>
                <xdr:spPr>
                  <a:xfrm>
                    <a:off x="12816416" y="23346833"/>
                    <a:ext cx="2127137"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IN" sz="1200" b="0" i="0">
                        <a:solidFill>
                          <a:schemeClr val="tx1"/>
                        </a:solidFill>
                        <a:effectLst/>
                        <a:latin typeface="Cambria Math" panose="02040503050406030204" pitchFamily="18" charset="0"/>
                        <a:ea typeface="+mn-ea"/>
                        <a:cs typeface="+mn-cs"/>
                      </a:rPr>
                      <a:t>𝑅_1=(〖𝑈𝑉𝐿𝑂〗_((𝑢𝑝𝑝𝑒𝑟))−〖𝑈𝑉𝐿𝑂〗_((𝑙𝑜𝑤𝑒𝑟)))/21𝜇𝐴</a:t>
                    </a:r>
                    <a:endParaRPr lang="en-IN" sz="1200">
                      <a:effectLst/>
                    </a:endParaRPr>
                  </a:p>
                </xdr:txBody>
              </xdr:sp>
            </mc:Fallback>
          </mc:AlternateContent>
          <mc:AlternateContent xmlns:mc="http://schemas.openxmlformats.org/markup-compatibility/2006" xmlns:a14="http://schemas.microsoft.com/office/drawing/2010/main">
            <mc:Choice Requires="a14">
              <xdr:sp macro="" textlink="">
                <xdr:nvSpPr>
                  <xdr:cNvPr id="54" name="TextBox 53">
                    <a:extLst>
                      <a:ext uri="{FF2B5EF4-FFF2-40B4-BE49-F238E27FC236}">
                        <a16:creationId xmlns:a16="http://schemas.microsoft.com/office/drawing/2014/main" id="{1EDB3356-8A4A-4C9F-9F67-01AD89BB0973}"/>
                      </a:ext>
                    </a:extLst>
                  </xdr:cNvPr>
                  <xdr:cNvSpPr txBox="1"/>
                </xdr:nvSpPr>
                <xdr:spPr>
                  <a:xfrm>
                    <a:off x="12816416" y="23814070"/>
                    <a:ext cx="1769230" cy="4023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2</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r>
                                <a:rPr lang="en-IN" sz="1200" b="0" i="1">
                                  <a:latin typeface="Cambria Math" panose="02040503050406030204" pitchFamily="18" charset="0"/>
                                </a:rPr>
                                <m:t>2.5</m:t>
                              </m:r>
                              <m:r>
                                <a:rPr lang="en-IN" sz="1200" b="0" i="1">
                                  <a:latin typeface="Cambria Math" panose="02040503050406030204" pitchFamily="18" charset="0"/>
                                </a:rPr>
                                <m:t>𝑉</m:t>
                              </m:r>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1</m:t>
                                  </m:r>
                                </m:sub>
                              </m:sSub>
                            </m:num>
                            <m:den>
                              <m:sSub>
                                <m:sSubPr>
                                  <m:ctrlPr>
                                    <a:rPr lang="en-IN" sz="1200" b="0" i="1">
                                      <a:latin typeface="Cambria Math" panose="02040503050406030204" pitchFamily="18" charset="0"/>
                                    </a:rPr>
                                  </m:ctrlPr>
                                </m:sSubPr>
                                <m:e>
                                  <m:r>
                                    <a:rPr lang="en-IN" sz="1200" b="0" i="1">
                                      <a:latin typeface="Cambria Math" panose="02040503050406030204" pitchFamily="18" charset="0"/>
                                    </a:rPr>
                                    <m:t>𝑈𝑉𝐿𝑂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r>
                                <a:rPr lang="en-IN" sz="1200" b="0" i="1">
                                  <a:latin typeface="Cambria Math" panose="02040503050406030204" pitchFamily="18" charset="0"/>
                                </a:rPr>
                                <m:t>−2.5</m:t>
                              </m:r>
                              <m:r>
                                <a:rPr lang="en-IN" sz="1200" b="0" i="1">
                                  <a:latin typeface="Cambria Math" panose="02040503050406030204" pitchFamily="18" charset="0"/>
                                </a:rPr>
                                <m:t>𝑉</m:t>
                              </m:r>
                            </m:den>
                          </m:f>
                        </m:oMath>
                      </m:oMathPara>
                    </a14:m>
                    <a:endParaRPr lang="en-IN" sz="1200"/>
                  </a:p>
                </xdr:txBody>
              </xdr:sp>
            </mc:Choice>
            <mc:Fallback xmlns="">
              <xdr:sp macro="" textlink="">
                <xdr:nvSpPr>
                  <xdr:cNvPr id="54" name="TextBox 53">
                    <a:extLst>
                      <a:ext uri="{FF2B5EF4-FFF2-40B4-BE49-F238E27FC236}">
                        <a16:creationId xmlns:a16="http://schemas.microsoft.com/office/drawing/2014/main" id="{1EDB3356-8A4A-4C9F-9F67-01AD89BB0973}"/>
                      </a:ext>
                    </a:extLst>
                  </xdr:cNvPr>
                  <xdr:cNvSpPr txBox="1"/>
                </xdr:nvSpPr>
                <xdr:spPr>
                  <a:xfrm>
                    <a:off x="12816416" y="23814070"/>
                    <a:ext cx="1769230" cy="4023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IN" sz="1200" b="0" i="0">
                        <a:latin typeface="Cambria Math" panose="02040503050406030204" pitchFamily="18" charset="0"/>
                      </a:rPr>
                      <a:t>𝑅_2=(2.5𝑉∗𝑅_1)/(〖𝑈𝑉𝐿𝑂〗_((𝑙𝑜𝑤𝑒𝑟))−2.5𝑉)</a:t>
                    </a:r>
                    <a:endParaRPr lang="en-IN" sz="1200"/>
                  </a:p>
                </xdr:txBody>
              </xdr:sp>
            </mc:Fallback>
          </mc:AlternateContent>
          <mc:AlternateContent xmlns:mc="http://schemas.openxmlformats.org/markup-compatibility/2006" xmlns:a14="http://schemas.microsoft.com/office/drawing/2010/main">
            <mc:Choice Requires="a14">
              <xdr:sp macro="" textlink="">
                <xdr:nvSpPr>
                  <xdr:cNvPr id="55" name="TextBox 54">
                    <a:extLst>
                      <a:ext uri="{FF2B5EF4-FFF2-40B4-BE49-F238E27FC236}">
                        <a16:creationId xmlns:a16="http://schemas.microsoft.com/office/drawing/2014/main" id="{BB1A395E-E6B6-4210-B3EB-B054E631E1A8}"/>
                      </a:ext>
                    </a:extLst>
                  </xdr:cNvPr>
                  <xdr:cNvSpPr txBox="1"/>
                </xdr:nvSpPr>
                <xdr:spPr>
                  <a:xfrm>
                    <a:off x="12816416" y="24328984"/>
                    <a:ext cx="2194633"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3</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sSub>
                                <m:sSubPr>
                                  <m:ctrlPr>
                                    <a:rPr lang="en-IN" sz="1200" b="0" i="1">
                                      <a:latin typeface="Cambria Math" panose="02040503050406030204" pitchFamily="18" charset="0"/>
                                    </a:rPr>
                                  </m:ctrlPr>
                                </m:sSubPr>
                                <m:e>
                                  <m:r>
                                    <a:rPr lang="en-IN" sz="1200" b="0" i="1">
                                      <a:latin typeface="Cambria Math" panose="02040503050406030204" pitchFamily="18" charset="0"/>
                                    </a:rPr>
                                    <m:t>𝑂𝑉𝐿𝑂</m:t>
                                  </m:r>
                                </m:e>
                                <m:sub>
                                  <m:r>
                                    <a:rPr lang="en-IN" sz="1200" b="0" i="1">
                                      <a:latin typeface="Cambria Math" panose="02040503050406030204" pitchFamily="18" charset="0"/>
                                    </a:rPr>
                                    <m:t>(</m:t>
                                  </m:r>
                                  <m:r>
                                    <a:rPr lang="en-IN" sz="1200" b="0" i="1">
                                      <a:latin typeface="Cambria Math" panose="02040503050406030204" pitchFamily="18" charset="0"/>
                                    </a:rPr>
                                    <m:t>𝑢𝑝𝑝𝑒𝑟</m:t>
                                  </m:r>
                                  <m:r>
                                    <a:rPr lang="en-IN" sz="1200" b="0" i="1">
                                      <a:latin typeface="Cambria Math" panose="02040503050406030204" pitchFamily="18" charset="0"/>
                                    </a:rPr>
                                    <m:t>)</m:t>
                                  </m:r>
                                </m:sub>
                              </m:sSub>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𝑂𝑉𝐿𝑂</m:t>
                                  </m:r>
                                </m:e>
                                <m:sub>
                                  <m:r>
                                    <a:rPr lang="en-IN" sz="1200" b="0" i="1">
                                      <a:latin typeface="Cambria Math" panose="02040503050406030204" pitchFamily="18" charset="0"/>
                                    </a:rPr>
                                    <m:t>(</m:t>
                                  </m:r>
                                  <m:r>
                                    <a:rPr lang="en-IN" sz="1200" b="0" i="1">
                                      <a:latin typeface="Cambria Math" panose="02040503050406030204" pitchFamily="18" charset="0"/>
                                    </a:rPr>
                                    <m:t>𝑙𝑜𝑤𝑒𝑟</m:t>
                                  </m:r>
                                  <m:r>
                                    <a:rPr lang="en-IN" sz="1200" b="0" i="1">
                                      <a:latin typeface="Cambria Math" panose="02040503050406030204" pitchFamily="18" charset="0"/>
                                    </a:rPr>
                                    <m:t>)</m:t>
                                  </m:r>
                                </m:sub>
                              </m:sSub>
                            </m:num>
                            <m:den>
                              <m:r>
                                <a:rPr lang="en-IN" sz="1200" b="0" i="1">
                                  <a:latin typeface="Cambria Math" panose="02040503050406030204" pitchFamily="18" charset="0"/>
                                </a:rPr>
                                <m:t>21</m:t>
                              </m:r>
                              <m:r>
                                <a:rPr lang="en-IN" sz="1200" b="0" i="1">
                                  <a:latin typeface="Cambria Math" panose="02040503050406030204" pitchFamily="18" charset="0"/>
                                  <a:ea typeface="Cambria Math" panose="02040503050406030204" pitchFamily="18" charset="0"/>
                                </a:rPr>
                                <m:t>𝜇</m:t>
                              </m:r>
                              <m:r>
                                <a:rPr lang="en-IN" sz="1200" b="0" i="1">
                                  <a:latin typeface="Cambria Math" panose="02040503050406030204" pitchFamily="18" charset="0"/>
                                  <a:ea typeface="Cambria Math" panose="02040503050406030204" pitchFamily="18" charset="0"/>
                                </a:rPr>
                                <m:t>𝐴</m:t>
                              </m:r>
                            </m:den>
                          </m:f>
                        </m:oMath>
                      </m:oMathPara>
                    </a14:m>
                    <a:endParaRPr lang="en-IN" sz="1200" b="0"/>
                  </a:p>
                </xdr:txBody>
              </xdr:sp>
            </mc:Choice>
            <mc:Fallback xmlns="">
              <xdr:sp macro="" textlink="">
                <xdr:nvSpPr>
                  <xdr:cNvPr id="55" name="TextBox 54">
                    <a:extLst>
                      <a:ext uri="{FF2B5EF4-FFF2-40B4-BE49-F238E27FC236}">
                        <a16:creationId xmlns:a16="http://schemas.microsoft.com/office/drawing/2014/main" id="{BB1A395E-E6B6-4210-B3EB-B054E631E1A8}"/>
                      </a:ext>
                    </a:extLst>
                  </xdr:cNvPr>
                  <xdr:cNvSpPr txBox="1"/>
                </xdr:nvSpPr>
                <xdr:spPr>
                  <a:xfrm>
                    <a:off x="12816416" y="24328984"/>
                    <a:ext cx="2194633" cy="384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IN" sz="1200" b="0" i="0">
                        <a:latin typeface="Cambria Math" panose="02040503050406030204" pitchFamily="18" charset="0"/>
                      </a:rPr>
                      <a:t>𝑅_3=(〖𝑂𝑉𝐿𝑂〗_((𝑢𝑝𝑝𝑒𝑟))−〖𝑂𝑉𝐿𝑂〗_((𝑙𝑜𝑤𝑒𝑟)))/21</a:t>
                    </a:r>
                    <a:r>
                      <a:rPr lang="en-IN" sz="1200" b="0" i="0">
                        <a:latin typeface="Cambria Math" panose="02040503050406030204" pitchFamily="18" charset="0"/>
                        <a:ea typeface="Cambria Math" panose="02040503050406030204" pitchFamily="18" charset="0"/>
                      </a:rPr>
                      <a:t>𝜇𝐴</a:t>
                    </a:r>
                    <a:endParaRPr lang="en-IN" sz="1200" b="0"/>
                  </a:p>
                </xdr:txBody>
              </xdr:sp>
            </mc:Fallback>
          </mc:AlternateContent>
          <mc:AlternateContent xmlns:mc="http://schemas.openxmlformats.org/markup-compatibility/2006" xmlns:a14="http://schemas.microsoft.com/office/drawing/2010/main">
            <mc:Choice Requires="a14">
              <xdr:sp macro="" textlink="">
                <xdr:nvSpPr>
                  <xdr:cNvPr id="56" name="TextBox 55">
                    <a:extLst>
                      <a:ext uri="{FF2B5EF4-FFF2-40B4-BE49-F238E27FC236}">
                        <a16:creationId xmlns:a16="http://schemas.microsoft.com/office/drawing/2014/main" id="{1DA3359D-5967-40B0-9AF5-9DB9CF4E8CEA}"/>
                      </a:ext>
                    </a:extLst>
                  </xdr:cNvPr>
                  <xdr:cNvSpPr txBox="1"/>
                </xdr:nvSpPr>
                <xdr:spPr>
                  <a:xfrm>
                    <a:off x="12816416" y="24796220"/>
                    <a:ext cx="1783854" cy="402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ParaPr>
                          <m:jc m:val="centerGroup"/>
                        </m:oMathParaPr>
                        <m:oMath xmlns:m="http://schemas.openxmlformats.org/officeDocument/2006/math">
                          <m:sSub>
                            <m:sSubPr>
                              <m:ctrlPr>
                                <a:rPr lang="en-IN" sz="120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4</m:t>
                              </m:r>
                            </m:sub>
                          </m:sSub>
                          <m:r>
                            <a:rPr lang="en-IN" sz="1200" b="0" i="1">
                              <a:latin typeface="Cambria Math" panose="02040503050406030204" pitchFamily="18" charset="0"/>
                            </a:rPr>
                            <m:t>=</m:t>
                          </m:r>
                          <m:f>
                            <m:fPr>
                              <m:ctrlPr>
                                <a:rPr lang="en-IN" sz="1200" b="0" i="1">
                                  <a:latin typeface="Cambria Math" panose="02040503050406030204" pitchFamily="18" charset="0"/>
                                </a:rPr>
                              </m:ctrlPr>
                            </m:fPr>
                            <m:num>
                              <m:r>
                                <a:rPr lang="en-IN" sz="1200" b="0" i="1">
                                  <a:latin typeface="Cambria Math" panose="02040503050406030204" pitchFamily="18" charset="0"/>
                                </a:rPr>
                                <m:t>2.5</m:t>
                              </m:r>
                              <m:r>
                                <a:rPr lang="en-IN" sz="1200" b="0" i="1">
                                  <a:latin typeface="Cambria Math" panose="02040503050406030204" pitchFamily="18" charset="0"/>
                                </a:rPr>
                                <m:t>𝑉</m:t>
                              </m:r>
                              <m:r>
                                <a:rPr lang="en-IN" sz="1200" b="0" i="1">
                                  <a:latin typeface="Cambria Math" panose="02040503050406030204" pitchFamily="18" charset="0"/>
                                </a:rPr>
                                <m:t>∗</m:t>
                              </m:r>
                              <m:sSub>
                                <m:sSubPr>
                                  <m:ctrlPr>
                                    <a:rPr lang="en-IN" sz="1200" b="0" i="1">
                                      <a:latin typeface="Cambria Math" panose="02040503050406030204" pitchFamily="18" charset="0"/>
                                    </a:rPr>
                                  </m:ctrlPr>
                                </m:sSubPr>
                                <m:e>
                                  <m:r>
                                    <a:rPr lang="en-IN" sz="1200" b="0" i="1">
                                      <a:latin typeface="Cambria Math" panose="02040503050406030204" pitchFamily="18" charset="0"/>
                                    </a:rPr>
                                    <m:t>𝑅</m:t>
                                  </m:r>
                                </m:e>
                                <m:sub>
                                  <m:r>
                                    <a:rPr lang="en-IN" sz="1200" b="0" i="1">
                                      <a:latin typeface="Cambria Math" panose="02040503050406030204" pitchFamily="18" charset="0"/>
                                    </a:rPr>
                                    <m:t>3</m:t>
                                  </m:r>
                                </m:sub>
                              </m:sSub>
                            </m:num>
                            <m:den>
                              <m:sSub>
                                <m:sSubPr>
                                  <m:ctrlPr>
                                    <a:rPr lang="en-IN" sz="1200" b="0" i="1">
                                      <a:latin typeface="Cambria Math" panose="02040503050406030204" pitchFamily="18" charset="0"/>
                                    </a:rPr>
                                  </m:ctrlPr>
                                </m:sSubPr>
                                <m:e>
                                  <m:r>
                                    <a:rPr lang="en-IN" sz="1200" b="0" i="1">
                                      <a:latin typeface="Cambria Math" panose="02040503050406030204" pitchFamily="18" charset="0"/>
                                    </a:rPr>
                                    <m:t>𝑂𝑉𝐿𝑂</m:t>
                                  </m:r>
                                </m:e>
                                <m:sub>
                                  <m:r>
                                    <a:rPr lang="en-IN" sz="1200" b="0" i="1">
                                      <a:latin typeface="Cambria Math" panose="02040503050406030204" pitchFamily="18" charset="0"/>
                                    </a:rPr>
                                    <m:t>(</m:t>
                                  </m:r>
                                  <m:r>
                                    <a:rPr lang="en-IN" sz="1200" b="0" i="1">
                                      <a:latin typeface="Cambria Math" panose="02040503050406030204" pitchFamily="18" charset="0"/>
                                    </a:rPr>
                                    <m:t>𝑢𝑝𝑝𝑒𝑟</m:t>
                                  </m:r>
                                  <m:r>
                                    <a:rPr lang="en-IN" sz="1200" b="0" i="1">
                                      <a:latin typeface="Cambria Math" panose="02040503050406030204" pitchFamily="18" charset="0"/>
                                    </a:rPr>
                                    <m:t>)</m:t>
                                  </m:r>
                                </m:sub>
                              </m:sSub>
                              <m:r>
                                <a:rPr lang="en-IN" sz="1200" b="0" i="1">
                                  <a:latin typeface="Cambria Math" panose="02040503050406030204" pitchFamily="18" charset="0"/>
                                </a:rPr>
                                <m:t>−2.5</m:t>
                              </m:r>
                              <m:r>
                                <a:rPr lang="en-IN" sz="1200" b="0" i="1">
                                  <a:latin typeface="Cambria Math" panose="02040503050406030204" pitchFamily="18" charset="0"/>
                                </a:rPr>
                                <m:t>𝑉</m:t>
                              </m:r>
                            </m:den>
                          </m:f>
                        </m:oMath>
                      </m:oMathPara>
                    </a14:m>
                    <a:endParaRPr lang="en-IN" sz="1200"/>
                  </a:p>
                </xdr:txBody>
              </xdr:sp>
            </mc:Choice>
            <mc:Fallback xmlns="">
              <xdr:sp macro="" textlink="">
                <xdr:nvSpPr>
                  <xdr:cNvPr id="56" name="TextBox 55">
                    <a:extLst>
                      <a:ext uri="{FF2B5EF4-FFF2-40B4-BE49-F238E27FC236}">
                        <a16:creationId xmlns:a16="http://schemas.microsoft.com/office/drawing/2014/main" id="{1DA3359D-5967-40B0-9AF5-9DB9CF4E8CEA}"/>
                      </a:ext>
                    </a:extLst>
                  </xdr:cNvPr>
                  <xdr:cNvSpPr txBox="1"/>
                </xdr:nvSpPr>
                <xdr:spPr>
                  <a:xfrm>
                    <a:off x="12816416" y="24796220"/>
                    <a:ext cx="1783854" cy="4023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IN" sz="1200" b="0" i="0">
                        <a:latin typeface="Cambria Math" panose="02040503050406030204" pitchFamily="18" charset="0"/>
                      </a:rPr>
                      <a:t>𝑅_4=(2.5𝑉∗𝑅_3)/(〖𝑂𝑉𝐿𝑂〗_((𝑢𝑝𝑝𝑒𝑟))−2.5𝑉)</a:t>
                    </a:r>
                    <a:endParaRPr lang="en-IN" sz="1200"/>
                  </a:p>
                </xdr:txBody>
              </xdr:sp>
            </mc:Fallback>
          </mc:AlternateContent>
        </xdr:grpSp>
      </xdr:grpSp>
    </xdr:grp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657225</xdr:colOff>
      <xdr:row>128</xdr:row>
      <xdr:rowOff>85725</xdr:rowOff>
    </xdr:from>
    <xdr:to>
      <xdr:col>16</xdr:col>
      <xdr:colOff>247650</xdr:colOff>
      <xdr:row>154</xdr:row>
      <xdr:rowOff>28575</xdr:rowOff>
    </xdr:to>
    <xdr:sp macro="" textlink="">
      <xdr:nvSpPr>
        <xdr:cNvPr id="2" name="Text Box 17">
          <a:extLst>
            <a:ext uri="{FF2B5EF4-FFF2-40B4-BE49-F238E27FC236}">
              <a16:creationId xmlns:a16="http://schemas.microsoft.com/office/drawing/2014/main" id="{00000000-0008-0000-0300-000002000000}"/>
            </a:ext>
          </a:extLst>
        </xdr:cNvPr>
        <xdr:cNvSpPr txBox="1">
          <a:spLocks noChangeArrowheads="1"/>
        </xdr:cNvSpPr>
      </xdr:nvSpPr>
      <xdr:spPr bwMode="auto">
        <a:xfrm>
          <a:off x="6924675" y="20164425"/>
          <a:ext cx="4029075" cy="41529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Option A</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R1 = </a:t>
          </a:r>
          <a:r>
            <a:rPr lang="en-US" sz="1000" b="0" i="0" u="sng" strike="noStrike" baseline="0">
              <a:solidFill>
                <a:srgbClr val="000000"/>
              </a:solidFill>
              <a:latin typeface="Arial"/>
              <a:cs typeface="Arial"/>
            </a:rPr>
            <a:t> UVLO</a:t>
          </a:r>
          <a:r>
            <a:rPr lang="en-US" sz="800" b="0" i="0" u="sng" strike="noStrike" baseline="0">
              <a:solidFill>
                <a:srgbClr val="000000"/>
              </a:solidFill>
              <a:latin typeface="Arial"/>
              <a:cs typeface="Arial"/>
            </a:rPr>
            <a:t>(upper)</a:t>
          </a:r>
          <a:r>
            <a:rPr lang="en-US" sz="1000" b="0" i="0" u="sng" strike="noStrike" baseline="0">
              <a:solidFill>
                <a:srgbClr val="000000"/>
              </a:solidFill>
              <a:latin typeface="Arial"/>
              <a:cs typeface="Arial"/>
            </a:rPr>
            <a:t> - UVLO</a:t>
          </a:r>
          <a:r>
            <a:rPr lang="en-US" sz="800" b="0" i="0" u="sng" strike="noStrike" baseline="0">
              <a:solidFill>
                <a:srgbClr val="000000"/>
              </a:solidFill>
              <a:latin typeface="Arial"/>
              <a:cs typeface="Arial"/>
            </a:rPr>
            <a:t>(lower)</a:t>
          </a:r>
          <a:r>
            <a:rPr lang="en-US" sz="1000" b="0" i="0" u="sng" strike="noStrike" baseline="0">
              <a:solidFill>
                <a:srgbClr val="000000"/>
              </a:solidFill>
              <a:latin typeface="Arial"/>
              <a:cs typeface="Arial"/>
            </a:rPr>
            <a:t>  </a:t>
          </a: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                     21 uA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R3 = </a:t>
          </a:r>
          <a:r>
            <a:rPr lang="en-US" sz="1000" b="0" i="0" u="sng" strike="noStrike" baseline="0">
              <a:solidFill>
                <a:srgbClr val="000000"/>
              </a:solidFill>
              <a:latin typeface="Arial"/>
              <a:cs typeface="Arial"/>
            </a:rPr>
            <a:t>         R1 x UVLO</a:t>
          </a:r>
          <a:r>
            <a:rPr lang="en-US" sz="800" b="0" i="0" u="sng" strike="noStrike" baseline="0">
              <a:solidFill>
                <a:srgbClr val="000000"/>
              </a:solidFill>
              <a:latin typeface="Arial"/>
              <a:cs typeface="Arial"/>
            </a:rPr>
            <a:t>(lower)</a:t>
          </a:r>
          <a:r>
            <a:rPr lang="en-US" sz="1000" b="0" i="0" u="sng" strike="noStrike" baseline="0">
              <a:solidFill>
                <a:srgbClr val="000000"/>
              </a:solidFill>
              <a:latin typeface="Arial"/>
              <a:cs typeface="Arial"/>
            </a:rPr>
            <a:t> x 2.5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OVLO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x (UVLO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- 2.5V)</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R2 =  </a:t>
          </a:r>
          <a:r>
            <a:rPr lang="en-US" sz="1000" b="0" i="0" u="sng" strike="noStrike" baseline="0">
              <a:solidFill>
                <a:srgbClr val="000000"/>
              </a:solidFill>
              <a:latin typeface="Arial"/>
              <a:cs typeface="Arial"/>
            </a:rPr>
            <a:t>       2.5V  x  R1      </a:t>
          </a:r>
          <a:r>
            <a:rPr lang="en-US" sz="1000" b="0" i="0" u="none" strike="noStrike" baseline="0">
              <a:solidFill>
                <a:srgbClr val="000000"/>
              </a:solidFill>
              <a:latin typeface="Arial"/>
              <a:cs typeface="Arial"/>
            </a:rPr>
            <a:t>    -  R3</a:t>
          </a:r>
        </a:p>
        <a:p>
          <a:pPr algn="l" rtl="0">
            <a:defRPr sz="1000"/>
          </a:pPr>
          <a:r>
            <a:rPr lang="en-US" sz="1000" b="0" i="0" u="none" strike="noStrike" baseline="0">
              <a:solidFill>
                <a:srgbClr val="000000"/>
              </a:solidFill>
              <a:latin typeface="Arial"/>
              <a:cs typeface="Arial"/>
            </a:rPr>
            <a:t>          UVLO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- 2.5V</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UVLO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 2.5V + (R1 x  </a:t>
          </a:r>
          <a:r>
            <a:rPr lang="en-US" sz="1000" b="0" i="0" u="sng" strike="noStrike" baseline="0">
              <a:solidFill>
                <a:srgbClr val="000000"/>
              </a:solidFill>
              <a:latin typeface="Arial"/>
              <a:cs typeface="Arial"/>
            </a:rPr>
            <a:t>( 2.5V     </a:t>
          </a:r>
          <a:r>
            <a:rPr lang="en-US" sz="1000" b="0" i="0" u="none" strike="noStrike" baseline="0">
              <a:solidFill>
                <a:srgbClr val="000000"/>
              </a:solidFill>
              <a:latin typeface="Arial"/>
              <a:cs typeface="Arial"/>
            </a:rPr>
            <a:t> +  21uA)</a:t>
          </a:r>
        </a:p>
        <a:p>
          <a:pPr algn="l" rtl="0">
            <a:defRPr sz="1000"/>
          </a:pPr>
          <a:r>
            <a:rPr lang="en-US" sz="1000" b="0" i="0" u="none" strike="noStrike" baseline="0">
              <a:solidFill>
                <a:srgbClr val="000000"/>
              </a:solidFill>
              <a:latin typeface="Arial"/>
              <a:cs typeface="Arial"/>
            </a:rPr>
            <a:t>                                                           (R2 + R3)</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UVLO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2.5V x </a:t>
          </a:r>
          <a:r>
            <a:rPr lang="en-US" sz="1000" b="0" i="0" u="sng" strike="noStrike" baseline="0">
              <a:solidFill>
                <a:srgbClr val="000000"/>
              </a:solidFill>
              <a:latin typeface="Arial"/>
              <a:cs typeface="Arial"/>
            </a:rPr>
            <a:t> (R1 + R2 + R3)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(R2 + R3)</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OVLO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2.5V x (R1 + R2 + R3)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R3</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OVLO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((R1 + R2) x ((</a:t>
          </a:r>
          <a:r>
            <a:rPr lang="en-US" sz="1000" b="0" i="0" u="sng" strike="noStrike" baseline="0">
              <a:solidFill>
                <a:srgbClr val="000000"/>
              </a:solidFill>
              <a:latin typeface="Arial"/>
              <a:cs typeface="Arial"/>
            </a:rPr>
            <a:t> 2.5V)</a:t>
          </a:r>
          <a:r>
            <a:rPr lang="en-US" sz="1000" b="0" i="0" u="none" strike="noStrike" baseline="0">
              <a:solidFill>
                <a:srgbClr val="000000"/>
              </a:solidFill>
              <a:latin typeface="Arial"/>
              <a:cs typeface="Arial"/>
            </a:rPr>
            <a:t>  -  21uA)) + 2.5V</a:t>
          </a:r>
        </a:p>
        <a:p>
          <a:pPr algn="l" rtl="0">
            <a:defRPr sz="1000"/>
          </a:pPr>
          <a:r>
            <a:rPr lang="en-US" sz="1000" b="0" i="0" u="none" strike="noStrike" baseline="0">
              <a:solidFill>
                <a:srgbClr val="000000"/>
              </a:solidFill>
              <a:latin typeface="Arial"/>
              <a:cs typeface="Arial"/>
            </a:rPr>
            <a:t>                                                            R3</a:t>
          </a:r>
        </a:p>
        <a:p>
          <a:pPr algn="l" rtl="0">
            <a:defRPr sz="1000"/>
          </a:pPr>
          <a:endParaRPr lang="en-US" sz="1000" b="0" i="0" u="none" strike="noStrike" baseline="0">
            <a:solidFill>
              <a:srgbClr val="000000"/>
            </a:solidFill>
            <a:latin typeface="Arial"/>
            <a:cs typeface="Arial"/>
          </a:endParaRPr>
        </a:p>
      </xdr:txBody>
    </xdr:sp>
    <xdr:clientData/>
  </xdr:twoCellAnchor>
  <xdr:twoCellAnchor>
    <xdr:from>
      <xdr:col>6</xdr:col>
      <xdr:colOff>38100</xdr:colOff>
      <xdr:row>177</xdr:row>
      <xdr:rowOff>133350</xdr:rowOff>
    </xdr:from>
    <xdr:to>
      <xdr:col>9</xdr:col>
      <xdr:colOff>276225</xdr:colOff>
      <xdr:row>188</xdr:row>
      <xdr:rowOff>142875</xdr:rowOff>
    </xdr:to>
    <xdr:sp macro="" textlink="">
      <xdr:nvSpPr>
        <xdr:cNvPr id="3" name="Text Box 98">
          <a:extLst>
            <a:ext uri="{FF2B5EF4-FFF2-40B4-BE49-F238E27FC236}">
              <a16:creationId xmlns:a16="http://schemas.microsoft.com/office/drawing/2014/main" id="{00000000-0008-0000-0300-000003000000}"/>
            </a:ext>
          </a:extLst>
        </xdr:cNvPr>
        <xdr:cNvSpPr txBox="1">
          <a:spLocks noChangeArrowheads="1"/>
        </xdr:cNvSpPr>
      </xdr:nvSpPr>
      <xdr:spPr bwMode="auto">
        <a:xfrm>
          <a:off x="32308800" y="16125825"/>
          <a:ext cx="2838450" cy="17907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Rpwr = 1.428 x 10</a:t>
          </a:r>
          <a:r>
            <a:rPr lang="en-US" sz="1000" b="0" i="0" u="none" strike="noStrike" baseline="30000">
              <a:solidFill>
                <a:srgbClr val="000000"/>
              </a:solidFill>
              <a:latin typeface="Arial"/>
              <a:cs typeface="Arial"/>
            </a:rPr>
            <a:t>5</a:t>
          </a:r>
          <a:r>
            <a:rPr lang="en-US" sz="1000" b="0" i="0" u="none" strike="noStrike" baseline="0">
              <a:solidFill>
                <a:srgbClr val="000000"/>
              </a:solidFill>
              <a:latin typeface="Arial"/>
              <a:cs typeface="Arial"/>
            </a:rPr>
            <a:t> x Rs x P</a:t>
          </a:r>
          <a:r>
            <a:rPr lang="en-US" sz="1000" b="0" i="0" u="none" strike="noStrike" baseline="-25000">
              <a:solidFill>
                <a:srgbClr val="000000"/>
              </a:solidFill>
              <a:latin typeface="Arial"/>
              <a:cs typeface="Arial"/>
            </a:rPr>
            <a:t>FET</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P</a:t>
          </a:r>
          <a:r>
            <a:rPr lang="en-US" sz="1000" b="0" i="0" u="none" strike="noStrike" baseline="-25000">
              <a:solidFill>
                <a:srgbClr val="000000"/>
              </a:solidFill>
              <a:latin typeface="Arial"/>
              <a:cs typeface="Arial"/>
            </a:rPr>
            <a:t>FET(min)</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4.44 x 10</a:t>
          </a:r>
          <a:r>
            <a:rPr lang="en-US" sz="1000" b="0" i="0" u="sng" strike="noStrike" baseline="30000">
              <a:solidFill>
                <a:srgbClr val="000000"/>
              </a:solidFill>
              <a:latin typeface="Arial"/>
              <a:cs typeface="Arial"/>
            </a:rPr>
            <a:t>-6</a:t>
          </a:r>
          <a:r>
            <a:rPr lang="en-US" sz="1000" b="0" i="0" u="sng" strike="noStrike" baseline="0">
              <a:solidFill>
                <a:srgbClr val="000000"/>
              </a:solidFill>
              <a:latin typeface="Arial"/>
              <a:cs typeface="Arial"/>
            </a:rPr>
            <a:t> x Rpwr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P</a:t>
          </a:r>
          <a:r>
            <a:rPr lang="en-US" sz="1000" b="0" i="0" u="none" strike="noStrike" baseline="-25000">
              <a:solidFill>
                <a:srgbClr val="000000"/>
              </a:solidFill>
              <a:latin typeface="Arial"/>
              <a:cs typeface="Arial"/>
            </a:rPr>
            <a:t>FET(typ)</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5.85 x 10</a:t>
          </a:r>
          <a:r>
            <a:rPr lang="en-US" sz="1000" b="0" i="0" u="sng" strike="noStrike" baseline="30000">
              <a:solidFill>
                <a:srgbClr val="000000"/>
              </a:solidFill>
              <a:latin typeface="Arial"/>
              <a:cs typeface="Arial"/>
            </a:rPr>
            <a:t>-6</a:t>
          </a:r>
          <a:r>
            <a:rPr lang="en-US" sz="1000" b="0" i="0" u="sng" strike="noStrike" baseline="0">
              <a:solidFill>
                <a:srgbClr val="000000"/>
              </a:solidFill>
              <a:latin typeface="Arial"/>
              <a:cs typeface="Arial"/>
            </a:rPr>
            <a:t> x Rpwr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P</a:t>
          </a:r>
          <a:r>
            <a:rPr lang="en-US" sz="1000" b="0" i="0" u="none" strike="noStrike" baseline="-25000">
              <a:solidFill>
                <a:srgbClr val="000000"/>
              </a:solidFill>
              <a:latin typeface="Arial"/>
              <a:cs typeface="Arial"/>
            </a:rPr>
            <a:t>FET(max)</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7.25 x 10</a:t>
          </a:r>
          <a:r>
            <a:rPr lang="en-US" sz="1000" b="0" i="0" u="sng" strike="noStrike" baseline="30000">
              <a:solidFill>
                <a:srgbClr val="000000"/>
              </a:solidFill>
              <a:latin typeface="Arial"/>
              <a:cs typeface="Arial"/>
            </a:rPr>
            <a:t>-6</a:t>
          </a:r>
          <a:r>
            <a:rPr lang="en-US" sz="1000" b="0" i="0" u="sng" strike="noStrike" baseline="0">
              <a:solidFill>
                <a:srgbClr val="000000"/>
              </a:solidFill>
              <a:latin typeface="Arial"/>
              <a:cs typeface="Arial"/>
            </a:rPr>
            <a:t> x Rpwr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Rs</a:t>
          </a:r>
        </a:p>
      </xdr:txBody>
    </xdr:sp>
    <xdr:clientData/>
  </xdr:twoCellAnchor>
  <xdr:twoCellAnchor>
    <xdr:from>
      <xdr:col>16</xdr:col>
      <xdr:colOff>333375</xdr:colOff>
      <xdr:row>128</xdr:row>
      <xdr:rowOff>85725</xdr:rowOff>
    </xdr:from>
    <xdr:to>
      <xdr:col>23</xdr:col>
      <xdr:colOff>95250</xdr:colOff>
      <xdr:row>154</xdr:row>
      <xdr:rowOff>28575</xdr:rowOff>
    </xdr:to>
    <xdr:sp macro="" textlink="">
      <xdr:nvSpPr>
        <xdr:cNvPr id="4" name="Text Box 17">
          <a:extLst>
            <a:ext uri="{FF2B5EF4-FFF2-40B4-BE49-F238E27FC236}">
              <a16:creationId xmlns:a16="http://schemas.microsoft.com/office/drawing/2014/main" id="{00000000-0008-0000-0300-000004000000}"/>
            </a:ext>
          </a:extLst>
        </xdr:cNvPr>
        <xdr:cNvSpPr txBox="1">
          <a:spLocks noChangeArrowheads="1"/>
        </xdr:cNvSpPr>
      </xdr:nvSpPr>
      <xdr:spPr bwMode="auto">
        <a:xfrm>
          <a:off x="11039475" y="20164425"/>
          <a:ext cx="4029075" cy="41529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Option B</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R1 = </a:t>
          </a:r>
          <a:r>
            <a:rPr lang="en-US" sz="1000" b="0" i="0" u="sng" strike="noStrike" baseline="0">
              <a:solidFill>
                <a:srgbClr val="000000"/>
              </a:solidFill>
              <a:latin typeface="Arial"/>
              <a:cs typeface="Arial"/>
            </a:rPr>
            <a:t> UVLO</a:t>
          </a:r>
          <a:r>
            <a:rPr lang="en-US" sz="800" b="0" i="0" u="sng" strike="noStrike" baseline="0">
              <a:solidFill>
                <a:srgbClr val="000000"/>
              </a:solidFill>
              <a:latin typeface="Arial"/>
              <a:cs typeface="Arial"/>
            </a:rPr>
            <a:t>(upper)</a:t>
          </a:r>
          <a:r>
            <a:rPr lang="en-US" sz="1000" b="0" i="0" u="sng" strike="noStrike" baseline="0">
              <a:solidFill>
                <a:srgbClr val="000000"/>
              </a:solidFill>
              <a:latin typeface="Arial"/>
              <a:cs typeface="Arial"/>
            </a:rPr>
            <a:t> - UVLO</a:t>
          </a:r>
          <a:r>
            <a:rPr lang="en-US" sz="800" b="0" i="0" u="sng" strike="noStrike" baseline="0">
              <a:solidFill>
                <a:srgbClr val="000000"/>
              </a:solidFill>
              <a:latin typeface="Arial"/>
              <a:cs typeface="Arial"/>
            </a:rPr>
            <a:t>(lower)</a:t>
          </a:r>
          <a:r>
            <a:rPr lang="en-US" sz="1000" b="0" i="0" u="sng" strike="noStrike" baseline="0">
              <a:solidFill>
                <a:srgbClr val="000000"/>
              </a:solidFill>
              <a:latin typeface="Arial"/>
              <a:cs typeface="Arial"/>
            </a:rPr>
            <a:t>  </a:t>
          </a:r>
          <a:r>
            <a:rPr lang="en-US" sz="1000" b="0" i="0" u="none" strike="noStrike" baseline="0">
              <a:solidFill>
                <a:srgbClr val="000000"/>
              </a:solidFill>
              <a:latin typeface="Arial"/>
              <a:cs typeface="Arial"/>
            </a:rPr>
            <a:t>         </a:t>
          </a:r>
        </a:p>
        <a:p>
          <a:pPr algn="l" rtl="0">
            <a:defRPr sz="1000"/>
          </a:pPr>
          <a:r>
            <a:rPr lang="en-US" sz="1000" b="0" i="0" u="none" strike="noStrike" baseline="0">
              <a:solidFill>
                <a:srgbClr val="000000"/>
              </a:solidFill>
              <a:latin typeface="Arial"/>
              <a:cs typeface="Arial"/>
            </a:rPr>
            <a:t>                     21 uA </a:t>
          </a:r>
        </a:p>
        <a:p>
          <a:pPr algn="l" rtl="0">
            <a:defRPr sz="1000"/>
          </a:pPr>
          <a:endParaRPr lang="en-US" sz="1000" b="0" i="0" u="none" strike="noStrike" baseline="0">
            <a:solidFill>
              <a:srgbClr val="000000"/>
            </a:solidFill>
            <a:latin typeface="Arial"/>
            <a:cs typeface="Arial"/>
          </a:endParaRPr>
        </a:p>
        <a:p>
          <a:pPr rtl="0"/>
          <a:r>
            <a:rPr lang="en-US" sz="1100" b="0" i="0" baseline="0">
              <a:effectLst/>
              <a:latin typeface="+mn-lt"/>
              <a:ea typeface="+mn-ea"/>
              <a:cs typeface="+mn-cs"/>
            </a:rPr>
            <a:t>R2 =  </a:t>
          </a:r>
          <a:r>
            <a:rPr lang="en-US" sz="1100" b="0" i="0" u="sng" baseline="0">
              <a:effectLst/>
              <a:latin typeface="+mn-lt"/>
              <a:ea typeface="+mn-ea"/>
              <a:cs typeface="+mn-cs"/>
            </a:rPr>
            <a:t>       2.5V  x  R1      </a:t>
          </a:r>
          <a:r>
            <a:rPr lang="en-US" sz="1100" b="0" i="0" baseline="0">
              <a:effectLst/>
              <a:latin typeface="+mn-lt"/>
              <a:ea typeface="+mn-ea"/>
              <a:cs typeface="+mn-cs"/>
            </a:rPr>
            <a:t>    </a:t>
          </a:r>
          <a:endParaRPr lang="en-US" sz="1000">
            <a:effectLst/>
          </a:endParaRPr>
        </a:p>
        <a:p>
          <a:pPr rtl="0"/>
          <a:r>
            <a:rPr lang="en-US" sz="1100" b="0" i="0" baseline="0">
              <a:effectLst/>
              <a:latin typeface="+mn-lt"/>
              <a:ea typeface="+mn-ea"/>
              <a:cs typeface="+mn-cs"/>
            </a:rPr>
            <a:t>          UVLO(lower) - 2.5V</a:t>
          </a:r>
          <a:endParaRPr lang="en-US" sz="1000">
            <a:effectLst/>
          </a:endParaRPr>
        </a:p>
        <a:p>
          <a:pPr algn="l" rtl="0">
            <a:defRPr sz="1000"/>
          </a:pPr>
          <a:endParaRPr lang="en-US" sz="1000" b="0" i="0" u="none" strike="noStrike" baseline="0">
            <a:solidFill>
              <a:srgbClr val="000000"/>
            </a:solidFill>
            <a:latin typeface="Arial"/>
            <a:cs typeface="Arial"/>
          </a:endParaRPr>
        </a:p>
        <a:p>
          <a:pPr rtl="0"/>
          <a:r>
            <a:rPr lang="en-US" sz="1100" b="0" i="0" baseline="0">
              <a:effectLst/>
              <a:latin typeface="+mn-lt"/>
              <a:ea typeface="+mn-ea"/>
              <a:cs typeface="+mn-cs"/>
            </a:rPr>
            <a:t>R3 = </a:t>
          </a:r>
          <a:r>
            <a:rPr lang="en-US" sz="1100" b="0" i="0" u="sng" baseline="0">
              <a:effectLst/>
              <a:latin typeface="+mn-lt"/>
              <a:ea typeface="+mn-ea"/>
              <a:cs typeface="+mn-cs"/>
            </a:rPr>
            <a:t> OVLO(upper) - OVLO(lower)  </a:t>
          </a:r>
          <a:r>
            <a:rPr lang="en-US" sz="1100" b="0" i="0" baseline="0">
              <a:effectLst/>
              <a:latin typeface="+mn-lt"/>
              <a:ea typeface="+mn-ea"/>
              <a:cs typeface="+mn-cs"/>
            </a:rPr>
            <a:t>         </a:t>
          </a:r>
          <a:endParaRPr lang="en-US" sz="1000">
            <a:effectLst/>
          </a:endParaRPr>
        </a:p>
        <a:p>
          <a:pPr rtl="0"/>
          <a:r>
            <a:rPr lang="en-US" sz="1100" b="0" i="0" baseline="0">
              <a:effectLst/>
              <a:latin typeface="+mn-lt"/>
              <a:ea typeface="+mn-ea"/>
              <a:cs typeface="+mn-cs"/>
            </a:rPr>
            <a:t>                     21 uA </a:t>
          </a:r>
          <a:endParaRPr lang="en-US" sz="1000">
            <a:effectLst/>
          </a:endParaRPr>
        </a:p>
        <a:p>
          <a:pPr algn="l" rtl="0">
            <a:defRPr sz="1000"/>
          </a:pPr>
          <a:endParaRPr lang="en-US" sz="1000" b="0" i="0" u="none" strike="noStrike" baseline="0">
            <a:solidFill>
              <a:srgbClr val="000000"/>
            </a:solidFill>
            <a:latin typeface="Arial"/>
            <a:cs typeface="Arial"/>
          </a:endParaRPr>
        </a:p>
        <a:p>
          <a:pPr rtl="0"/>
          <a:r>
            <a:rPr lang="en-US" sz="1100" b="0" i="0" baseline="0">
              <a:effectLst/>
              <a:latin typeface="+mn-lt"/>
              <a:ea typeface="+mn-ea"/>
              <a:cs typeface="+mn-cs"/>
            </a:rPr>
            <a:t>R4 =  </a:t>
          </a:r>
          <a:r>
            <a:rPr lang="en-US" sz="1100" b="0" i="0" u="sng" baseline="0">
              <a:effectLst/>
              <a:latin typeface="+mn-lt"/>
              <a:ea typeface="+mn-ea"/>
              <a:cs typeface="+mn-cs"/>
            </a:rPr>
            <a:t>       2.5V  x  R3      </a:t>
          </a:r>
          <a:r>
            <a:rPr lang="en-US" sz="1100" b="0" i="0" baseline="0">
              <a:effectLst/>
              <a:latin typeface="+mn-lt"/>
              <a:ea typeface="+mn-ea"/>
              <a:cs typeface="+mn-cs"/>
            </a:rPr>
            <a:t>    </a:t>
          </a:r>
          <a:endParaRPr lang="en-US" sz="1000">
            <a:effectLst/>
          </a:endParaRPr>
        </a:p>
        <a:p>
          <a:pPr rtl="0"/>
          <a:r>
            <a:rPr lang="en-US" sz="1100" b="0" i="0" baseline="0">
              <a:effectLst/>
              <a:latin typeface="+mn-lt"/>
              <a:ea typeface="+mn-ea"/>
              <a:cs typeface="+mn-cs"/>
            </a:rPr>
            <a:t>          OVLO(upper) - 2.5V</a:t>
          </a:r>
          <a:endParaRPr lang="en-US" sz="1000">
            <a:effectLst/>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UVLO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 2.5V + (R1 x  </a:t>
          </a:r>
          <a:r>
            <a:rPr lang="en-US" sz="1000" b="0" i="0" u="sng" strike="noStrike" baseline="0">
              <a:solidFill>
                <a:srgbClr val="000000"/>
              </a:solidFill>
              <a:latin typeface="Arial"/>
              <a:cs typeface="Arial"/>
            </a:rPr>
            <a:t>( 2.5V     </a:t>
          </a:r>
          <a:r>
            <a:rPr lang="en-US" sz="1000" b="0" i="0" u="none" strike="noStrike" baseline="0">
              <a:solidFill>
                <a:srgbClr val="000000"/>
              </a:solidFill>
              <a:latin typeface="Arial"/>
              <a:cs typeface="Arial"/>
            </a:rPr>
            <a:t> +  21uA)</a:t>
          </a:r>
        </a:p>
        <a:p>
          <a:pPr algn="l" rtl="0">
            <a:defRPr sz="1000"/>
          </a:pPr>
          <a:r>
            <a:rPr lang="en-US" sz="1000" b="0" i="0" u="none" strike="noStrike" baseline="0">
              <a:solidFill>
                <a:srgbClr val="000000"/>
              </a:solidFill>
              <a:latin typeface="Arial"/>
              <a:cs typeface="Arial"/>
            </a:rPr>
            <a:t>                                                                 R2</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UVLO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2.5V x </a:t>
          </a:r>
          <a:r>
            <a:rPr lang="en-US" sz="1000" b="0" i="0" u="sng" strike="noStrike" baseline="0">
              <a:solidFill>
                <a:srgbClr val="000000"/>
              </a:solidFill>
              <a:latin typeface="Arial"/>
              <a:cs typeface="Arial"/>
            </a:rPr>
            <a:t> (R1 + R2 </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                                                  (R2)</a:t>
          </a: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OVLO</a:t>
          </a:r>
          <a:r>
            <a:rPr lang="en-US" sz="800" b="0" i="0" u="none" strike="noStrike" baseline="0">
              <a:solidFill>
                <a:srgbClr val="000000"/>
              </a:solidFill>
              <a:latin typeface="Arial"/>
              <a:cs typeface="Arial"/>
            </a:rPr>
            <a:t>(upper)</a:t>
          </a:r>
          <a:r>
            <a:rPr lang="en-US" sz="1000" b="0" i="0" u="none" strike="noStrike" baseline="0">
              <a:solidFill>
                <a:srgbClr val="000000"/>
              </a:solidFill>
              <a:latin typeface="Arial"/>
              <a:cs typeface="Arial"/>
            </a:rPr>
            <a:t> = </a:t>
          </a:r>
          <a:r>
            <a:rPr lang="en-US" sz="1000" b="0" i="0" u="sng" strike="noStrike" baseline="0">
              <a:solidFill>
                <a:srgbClr val="000000"/>
              </a:solidFill>
              <a:latin typeface="Arial"/>
              <a:cs typeface="Arial"/>
            </a:rPr>
            <a:t>  </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Typical OVLO</a:t>
          </a:r>
          <a:r>
            <a:rPr lang="en-US" sz="800" b="0" i="0" u="none" strike="noStrike" baseline="0">
              <a:solidFill>
                <a:srgbClr val="000000"/>
              </a:solidFill>
              <a:latin typeface="Arial"/>
              <a:cs typeface="Arial"/>
            </a:rPr>
            <a:t>(lower)</a:t>
          </a:r>
          <a:r>
            <a:rPr lang="en-US" sz="1000" b="0" i="0" u="none" strike="noStrike" baseline="0">
              <a:solidFill>
                <a:srgbClr val="000000"/>
              </a:solidFill>
              <a:latin typeface="Arial"/>
              <a:cs typeface="Arial"/>
            </a:rPr>
            <a:t> = (R3 x ((</a:t>
          </a:r>
          <a:r>
            <a:rPr lang="en-US" sz="1000" b="0" i="0" u="sng" strike="noStrike" baseline="0">
              <a:solidFill>
                <a:srgbClr val="000000"/>
              </a:solidFill>
              <a:latin typeface="Arial"/>
              <a:cs typeface="Arial"/>
            </a:rPr>
            <a:t> 2.5V)</a:t>
          </a:r>
          <a:r>
            <a:rPr lang="en-US" sz="1000" b="0" i="0" u="none" strike="noStrike" baseline="0">
              <a:solidFill>
                <a:srgbClr val="000000"/>
              </a:solidFill>
              <a:latin typeface="Arial"/>
              <a:cs typeface="Arial"/>
            </a:rPr>
            <a:t>  -  21uA)) + 2.5V</a:t>
          </a:r>
        </a:p>
        <a:p>
          <a:pPr algn="l" rtl="0">
            <a:defRPr sz="1000"/>
          </a:pPr>
          <a:r>
            <a:rPr lang="en-US" sz="1000" b="0" i="0" u="none" strike="noStrike" baseline="0">
              <a:solidFill>
                <a:srgbClr val="000000"/>
              </a:solidFill>
              <a:latin typeface="Arial"/>
              <a:cs typeface="Arial"/>
            </a:rPr>
            <a:t>                                                   R4</a:t>
          </a:r>
        </a:p>
        <a:p>
          <a:pPr algn="l" rtl="0">
            <a:defRPr sz="1000"/>
          </a:pPr>
          <a:endParaRPr lang="en-US" sz="1000" b="0" i="0" u="none" strike="noStrike" baseline="0">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21</xdr:col>
      <xdr:colOff>563880</xdr:colOff>
      <xdr:row>26</xdr:row>
      <xdr:rowOff>87630</xdr:rowOff>
    </xdr:from>
    <xdr:to>
      <xdr:col>28</xdr:col>
      <xdr:colOff>388620</xdr:colOff>
      <xdr:row>46</xdr:row>
      <xdr:rowOff>137160</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168088</xdr:colOff>
      <xdr:row>145</xdr:row>
      <xdr:rowOff>67236</xdr:rowOff>
    </xdr:from>
    <xdr:to>
      <xdr:col>27</xdr:col>
      <xdr:colOff>597946</xdr:colOff>
      <xdr:row>165</xdr:row>
      <xdr:rowOff>116766</xdr:rowOff>
    </xdr:to>
    <xdr:graphicFrame macro="">
      <xdr:nvGraphicFramePr>
        <xdr:cNvPr id="3" name="Chart 2">
          <a:extLst>
            <a:ext uri="{FF2B5EF4-FFF2-40B4-BE49-F238E27FC236}">
              <a16:creationId xmlns:a16="http://schemas.microsoft.com/office/drawing/2014/main" id="{D45AFC7A-62E0-440D-BEAC-13EAD205E0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ps08.itg.ti.com/Users/a0872642/Desktop/Excell%20Tools/TPS24720_design_calc_1_14_1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s08.itg.ti.com/Users/a0872642/Desktop/Excell%20Tools/TPS24720_design_calc_1_14_14_74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LIM_SOA_considerations"/>
      <sheetName val="Worksheet"/>
      <sheetName val="SOA"/>
      <sheetName val="Device Parmaters"/>
    </sheetNames>
    <sheetDataSet>
      <sheetData sheetId="0"/>
      <sheetData sheetId="1">
        <row r="9">
          <cell r="C9">
            <v>0.5</v>
          </cell>
        </row>
        <row r="15">
          <cell r="C15">
            <v>50</v>
          </cell>
        </row>
        <row r="23">
          <cell r="C23">
            <v>12.6</v>
          </cell>
        </row>
        <row r="25">
          <cell r="C25">
            <v>42</v>
          </cell>
        </row>
        <row r="30">
          <cell r="C30">
            <v>1</v>
          </cell>
        </row>
        <row r="40">
          <cell r="C40">
            <v>45</v>
          </cell>
        </row>
        <row r="45">
          <cell r="C45">
            <v>13.214879379662346</v>
          </cell>
        </row>
        <row r="46">
          <cell r="C46">
            <v>1.2333333333333334</v>
          </cell>
        </row>
        <row r="47">
          <cell r="C47">
            <v>14.44821271299568</v>
          </cell>
        </row>
        <row r="52">
          <cell r="C52">
            <v>61.344890223835883</v>
          </cell>
        </row>
        <row r="61">
          <cell r="C61">
            <v>1650</v>
          </cell>
        </row>
        <row r="67">
          <cell r="C67">
            <v>2.2000000000000001E-7</v>
          </cell>
        </row>
      </sheetData>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LIM_SOA_considerations"/>
      <sheetName val="Worksheet"/>
      <sheetName val="SOA"/>
    </sheetNames>
    <sheetDataSet>
      <sheetData sheetId="0"/>
      <sheetData sheetId="1">
        <row r="9">
          <cell r="C9">
            <v>0.5</v>
          </cell>
        </row>
        <row r="15">
          <cell r="C15">
            <v>50</v>
          </cell>
        </row>
        <row r="23">
          <cell r="C23">
            <v>12.6</v>
          </cell>
        </row>
        <row r="25">
          <cell r="C25">
            <v>42</v>
          </cell>
        </row>
        <row r="30">
          <cell r="C30">
            <v>1</v>
          </cell>
        </row>
        <row r="40">
          <cell r="C40">
            <v>45</v>
          </cell>
        </row>
        <row r="45">
          <cell r="C45">
            <v>13.214879379662346</v>
          </cell>
        </row>
        <row r="46">
          <cell r="C46">
            <v>0.74</v>
          </cell>
        </row>
        <row r="47">
          <cell r="C47">
            <v>13.954879379662346</v>
          </cell>
        </row>
        <row r="52">
          <cell r="C52">
            <v>62.580553546791855</v>
          </cell>
        </row>
        <row r="61">
          <cell r="C61">
            <v>1650</v>
          </cell>
        </row>
        <row r="67">
          <cell r="C67">
            <v>2.2000000000000001E-7</v>
          </cell>
        </row>
      </sheetData>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4BE936-5D52-4592-A232-CEBABB0F77C9}" name="Table1" displayName="Table1" ref="AV53:AZ63" totalsRowShown="0" headerRowDxfId="65">
  <autoFilter ref="AV53:AZ63" xr:uid="{ED400463-F74F-47B4-9AB2-C9F799FE978C}"/>
  <sortState xmlns:xlrd2="http://schemas.microsoft.com/office/spreadsheetml/2017/richdata2" ref="AV54:AZ63">
    <sortCondition descending="1" ref="AZ54:AZ63"/>
    <sortCondition ref="AX54:AX63"/>
  </sortState>
  <tableColumns count="5">
    <tableColumn id="1" xr3:uid="{FFDE92B0-DA6F-46DC-AD7D-DC4916D883FE}" name="FET part number (48V FETs)"/>
    <tableColumn id="2" xr3:uid="{45C16C35-9384-48E5-BBC5-C88C839025A2}" name="FET display name (48V FETs)">
      <calculatedColumnFormula>AV54&amp;" , "&amp;ROUND(AZ54,2)&amp;" , $"&amp;AX54</calculatedColumnFormula>
    </tableColumn>
    <tableColumn id="3" xr3:uid="{409A2D5B-F831-4023-A732-0A3865BB04BC}" name="cost" dataDxfId="64"/>
    <tableColumn id="4" xr3:uid="{5A623738-B9CC-4CAE-9F82-544E3B8EC920}" name="power dissipation" dataDxfId="63"/>
    <tableColumn id="5" xr3:uid="{1AA0AD90-19A8-4E02-9191-CC559101F575}" name="SOA margin" dataDxfId="6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71CD2A2-2BEE-43E7-804A-770FB6E11811}" name="Table2" displayName="Table2" ref="BD53:BH71" totalsRowShown="0" headerRowDxfId="61">
  <autoFilter ref="BD53:BH71" xr:uid="{303C1B0E-4CD6-423B-A8BE-AC988210E2AD}"/>
  <sortState xmlns:xlrd2="http://schemas.microsoft.com/office/spreadsheetml/2017/richdata2" ref="BD54:BH71">
    <sortCondition descending="1" ref="BH54:BH71"/>
    <sortCondition ref="BF54:BF71"/>
  </sortState>
  <tableColumns count="5">
    <tableColumn id="1" xr3:uid="{98C24C4C-165C-4A0D-8D47-F27AAF12E4D7}" name="FET part number (24V FETs)"/>
    <tableColumn id="2" xr3:uid="{D016939F-2C52-471D-A104-D6E8DB59110D}" name="FET display name (24V FETs)">
      <calculatedColumnFormula>BD54&amp;" , "&amp;ROUND(BH54,2)&amp;" , $"&amp;BF54</calculatedColumnFormula>
    </tableColumn>
    <tableColumn id="3" xr3:uid="{F38E7803-6645-41A4-8F2B-AEC2815CB775}" name="cost" dataDxfId="60"/>
    <tableColumn id="4" xr3:uid="{B5CAFDA3-F367-4EFE-B701-6EA6D95EE060}" name="power dissipation" dataDxfId="59"/>
    <tableColumn id="5" xr3:uid="{7F60B8F5-F74B-460E-AE7F-7321DD090DA1}" name="SOA margin" dataDxfId="58"/>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ti.com/lit/ds/symlink/lm5069.pdf" TargetMode="External"/><Relationship Id="rId1" Type="http://schemas.openxmlformats.org/officeDocument/2006/relationships/hyperlink" Target="http://www.ti.com/lit/pdf/slva673"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hyperlink" Target="https://e2e.ti.com/" TargetMode="External"/><Relationship Id="rId7" Type="http://schemas.openxmlformats.org/officeDocument/2006/relationships/table" Target="../tables/table1.xml"/><Relationship Id="rId2" Type="http://schemas.openxmlformats.org/officeDocument/2006/relationships/hyperlink" Target="http://www.ti.com/product/lm5069" TargetMode="External"/><Relationship Id="rId1" Type="http://schemas.openxmlformats.org/officeDocument/2006/relationships/hyperlink" Target="http://www.ti.com/hotswap" TargetMode="External"/><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2.bin"/><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www.ti.com/product/CSD18532NQ5B" TargetMode="External"/><Relationship Id="rId18" Type="http://schemas.openxmlformats.org/officeDocument/2006/relationships/hyperlink" Target="https://www.ti.com/lit/gpn/csd19502q5b" TargetMode="External"/><Relationship Id="rId26" Type="http://schemas.openxmlformats.org/officeDocument/2006/relationships/hyperlink" Target="https://www.ti.com/lit/gpn/csd19501kcs" TargetMode="External"/><Relationship Id="rId21" Type="http://schemas.openxmlformats.org/officeDocument/2006/relationships/hyperlink" Target="https://www.ti.com/product/CSD18531Q5A" TargetMode="External"/><Relationship Id="rId34" Type="http://schemas.openxmlformats.org/officeDocument/2006/relationships/hyperlink" Target="https://www.ti.com/lit/gpn/csd18543q3a" TargetMode="External"/><Relationship Id="rId7" Type="http://schemas.openxmlformats.org/officeDocument/2006/relationships/hyperlink" Target="https://www.ti.com/product/CSD19506KTT" TargetMode="External"/><Relationship Id="rId12" Type="http://schemas.openxmlformats.org/officeDocument/2006/relationships/hyperlink" Target="https://www.ti.com/lit/gpn/csd18532q5b" TargetMode="External"/><Relationship Id="rId17" Type="http://schemas.openxmlformats.org/officeDocument/2006/relationships/hyperlink" Target="https://www.ti.com/product/CSD19502Q5B" TargetMode="External"/><Relationship Id="rId25" Type="http://schemas.openxmlformats.org/officeDocument/2006/relationships/hyperlink" Target="https://www.ti.com/product/CSD19501KCS" TargetMode="External"/><Relationship Id="rId33" Type="http://schemas.openxmlformats.org/officeDocument/2006/relationships/hyperlink" Target="https://www.ti.com/product/CSD18543Q3A" TargetMode="External"/><Relationship Id="rId2" Type="http://schemas.openxmlformats.org/officeDocument/2006/relationships/hyperlink" Target="https://www.ti.com/lit/gpn/csd18536ktt" TargetMode="External"/><Relationship Id="rId16" Type="http://schemas.openxmlformats.org/officeDocument/2006/relationships/hyperlink" Target="https://www.ti.com/lit/gpn/csd18542ktt" TargetMode="External"/><Relationship Id="rId20" Type="http://schemas.openxmlformats.org/officeDocument/2006/relationships/hyperlink" Target="https://www.ti.com/lit/gpn/csd18532kcs" TargetMode="External"/><Relationship Id="rId29" Type="http://schemas.openxmlformats.org/officeDocument/2006/relationships/hyperlink" Target="https://www.ti.com/product/CSD19503KCS" TargetMode="External"/><Relationship Id="rId1" Type="http://schemas.openxmlformats.org/officeDocument/2006/relationships/hyperlink" Target="https://www.ti.com/product/CSD18536KTT" TargetMode="External"/><Relationship Id="rId6" Type="http://schemas.openxmlformats.org/officeDocument/2006/relationships/hyperlink" Target="https://www.ti.com/lit/gpn/csd18540q5b" TargetMode="External"/><Relationship Id="rId11" Type="http://schemas.openxmlformats.org/officeDocument/2006/relationships/hyperlink" Target="https://www.ti.com/product/CSD18532Q5B" TargetMode="External"/><Relationship Id="rId24" Type="http://schemas.openxmlformats.org/officeDocument/2006/relationships/hyperlink" Target="https://www.ti.com/lit/gpn/csd18533q5a" TargetMode="External"/><Relationship Id="rId32" Type="http://schemas.openxmlformats.org/officeDocument/2006/relationships/hyperlink" Target="https://www.ti.com/product/CSD18534Q5A" TargetMode="External"/><Relationship Id="rId37" Type="http://schemas.openxmlformats.org/officeDocument/2006/relationships/printerSettings" Target="../printerSettings/printerSettings5.bin"/><Relationship Id="rId5" Type="http://schemas.openxmlformats.org/officeDocument/2006/relationships/hyperlink" Target="https://www.ti.com/product/CSD18540Q5B" TargetMode="External"/><Relationship Id="rId15" Type="http://schemas.openxmlformats.org/officeDocument/2006/relationships/hyperlink" Target="https://www.ti.com/product/CSD18542KTT" TargetMode="External"/><Relationship Id="rId23" Type="http://schemas.openxmlformats.org/officeDocument/2006/relationships/hyperlink" Target="https://www.ti.com/product/CSD18533Q5A" TargetMode="External"/><Relationship Id="rId28" Type="http://schemas.openxmlformats.org/officeDocument/2006/relationships/hyperlink" Target="https://www.ti.com/lit/gpn/csd18563q5a" TargetMode="External"/><Relationship Id="rId36" Type="http://schemas.openxmlformats.org/officeDocument/2006/relationships/hyperlink" Target="https://www.ti.com/lit/gpn/csd18537nq5a" TargetMode="External"/><Relationship Id="rId10" Type="http://schemas.openxmlformats.org/officeDocument/2006/relationships/hyperlink" Target="https://www.ti.com/lit/gpn/csd19505ktt" TargetMode="External"/><Relationship Id="rId19" Type="http://schemas.openxmlformats.org/officeDocument/2006/relationships/hyperlink" Target="https://www.ti.com/product/CSD18532KCS" TargetMode="External"/><Relationship Id="rId31" Type="http://schemas.openxmlformats.org/officeDocument/2006/relationships/hyperlink" Target="https://www.ti.com/lit/gpn/csd18534q5a" TargetMode="External"/><Relationship Id="rId4" Type="http://schemas.openxmlformats.org/officeDocument/2006/relationships/hyperlink" Target="https://www.ti.com/lit/gpn/csd18535ktt" TargetMode="External"/><Relationship Id="rId9" Type="http://schemas.openxmlformats.org/officeDocument/2006/relationships/hyperlink" Target="https://www.ti.com/product/CSD19505KTT" TargetMode="External"/><Relationship Id="rId14" Type="http://schemas.openxmlformats.org/officeDocument/2006/relationships/hyperlink" Target="https://www.ti.com/lit/gpn/csd18532nq5b" TargetMode="External"/><Relationship Id="rId22" Type="http://schemas.openxmlformats.org/officeDocument/2006/relationships/hyperlink" Target="https://www.ti.com/lit/gpn/csd18531q5a" TargetMode="External"/><Relationship Id="rId27" Type="http://schemas.openxmlformats.org/officeDocument/2006/relationships/hyperlink" Target="https://www.ti.com/product/CSD18563Q5A" TargetMode="External"/><Relationship Id="rId30" Type="http://schemas.openxmlformats.org/officeDocument/2006/relationships/hyperlink" Target="https://www.ti.com/lit/gpn/csd19503kcs" TargetMode="External"/><Relationship Id="rId35" Type="http://schemas.openxmlformats.org/officeDocument/2006/relationships/hyperlink" Target="https://www.ti.com/product/CSD18537NQ5A" TargetMode="External"/><Relationship Id="rId8" Type="http://schemas.openxmlformats.org/officeDocument/2006/relationships/hyperlink" Target="https://www.ti.com/lit/gpn/csd19506ktt" TargetMode="External"/><Relationship Id="rId3" Type="http://schemas.openxmlformats.org/officeDocument/2006/relationships/hyperlink" Target="https://www.ti.com/product/CSD18535KTT"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ti.com/lit/gpn/csd19532ktt" TargetMode="External"/><Relationship Id="rId13" Type="http://schemas.openxmlformats.org/officeDocument/2006/relationships/hyperlink" Target="https://www.ti.com/product/CSD19537Q3" TargetMode="External"/><Relationship Id="rId18" Type="http://schemas.openxmlformats.org/officeDocument/2006/relationships/hyperlink" Target="https://www.ti.com/lit/gpn/csd19538q2" TargetMode="External"/><Relationship Id="rId3" Type="http://schemas.openxmlformats.org/officeDocument/2006/relationships/hyperlink" Target="https://www.ti.com/product/CSD19535KTT" TargetMode="External"/><Relationship Id="rId7" Type="http://schemas.openxmlformats.org/officeDocument/2006/relationships/hyperlink" Target="https://www.ti.com/product/CSD19532KTT" TargetMode="External"/><Relationship Id="rId12" Type="http://schemas.openxmlformats.org/officeDocument/2006/relationships/hyperlink" Target="https://www.ti.com/lit/gpn/csd19533q5a" TargetMode="External"/><Relationship Id="rId17" Type="http://schemas.openxmlformats.org/officeDocument/2006/relationships/hyperlink" Target="https://www.ti.com/product/CSD19538Q2" TargetMode="External"/><Relationship Id="rId2" Type="http://schemas.openxmlformats.org/officeDocument/2006/relationships/hyperlink" Target="https://www.ti.com/lit/gpn/csd19536ktt" TargetMode="External"/><Relationship Id="rId16" Type="http://schemas.openxmlformats.org/officeDocument/2006/relationships/hyperlink" Target="https://www.ti.com/lit/gpn/csd19534q5a" TargetMode="External"/><Relationship Id="rId20" Type="http://schemas.openxmlformats.org/officeDocument/2006/relationships/hyperlink" Target="https://www.ti.com/lit/gpn/csd19538q3a" TargetMode="External"/><Relationship Id="rId1" Type="http://schemas.openxmlformats.org/officeDocument/2006/relationships/hyperlink" Target="https://www.ti.com/product/CSD19536KTT" TargetMode="External"/><Relationship Id="rId6" Type="http://schemas.openxmlformats.org/officeDocument/2006/relationships/hyperlink" Target="https://www.ti.com/lit/gpn/csd19532q5b" TargetMode="External"/><Relationship Id="rId11" Type="http://schemas.openxmlformats.org/officeDocument/2006/relationships/hyperlink" Target="https://www.ti.com/product/CSD19533Q5A" TargetMode="External"/><Relationship Id="rId5" Type="http://schemas.openxmlformats.org/officeDocument/2006/relationships/hyperlink" Target="https://www.ti.com/product/CSD19532Q5B" TargetMode="External"/><Relationship Id="rId15" Type="http://schemas.openxmlformats.org/officeDocument/2006/relationships/hyperlink" Target="https://www.ti.com/product/CSD19534Q5A" TargetMode="External"/><Relationship Id="rId10" Type="http://schemas.openxmlformats.org/officeDocument/2006/relationships/hyperlink" Target="https://www.ti.com/lit/gpn/csd19531q5a" TargetMode="External"/><Relationship Id="rId19" Type="http://schemas.openxmlformats.org/officeDocument/2006/relationships/hyperlink" Target="https://www.ti.com/product/CSD19538Q3A" TargetMode="External"/><Relationship Id="rId4" Type="http://schemas.openxmlformats.org/officeDocument/2006/relationships/hyperlink" Target="https://www.ti.com/lit/gpn/csd19535ktt" TargetMode="External"/><Relationship Id="rId9" Type="http://schemas.openxmlformats.org/officeDocument/2006/relationships/hyperlink" Target="https://www.ti.com/product/CSD19531Q5A" TargetMode="External"/><Relationship Id="rId14" Type="http://schemas.openxmlformats.org/officeDocument/2006/relationships/hyperlink" Target="https://www.ti.com/lit/gpn/csd19537q3"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122"/>
  <sheetViews>
    <sheetView topLeftCell="A13" zoomScale="230" zoomScaleNormal="100" workbookViewId="0">
      <selection activeCell="G7" sqref="G7"/>
    </sheetView>
  </sheetViews>
  <sheetFormatPr baseColWidth="10" defaultColWidth="8.83203125" defaultRowHeight="13"/>
  <cols>
    <col min="5" max="5" width="5.33203125" customWidth="1"/>
  </cols>
  <sheetData>
    <row r="1" spans="1:16" ht="14" thickTop="1">
      <c r="A1" s="169"/>
      <c r="B1" s="170"/>
      <c r="C1" s="170"/>
      <c r="D1" s="170"/>
      <c r="E1" s="170"/>
      <c r="F1" s="170"/>
      <c r="G1" s="170"/>
      <c r="H1" s="170"/>
      <c r="I1" s="170"/>
      <c r="J1" s="170"/>
      <c r="K1" s="170"/>
      <c r="L1" s="170"/>
      <c r="M1" s="170"/>
      <c r="N1" s="170"/>
      <c r="O1" s="170"/>
      <c r="P1" s="171"/>
    </row>
    <row r="2" spans="1:16">
      <c r="A2" s="172"/>
      <c r="B2" s="173"/>
      <c r="C2" s="173"/>
      <c r="D2" s="173"/>
      <c r="E2" s="173"/>
      <c r="F2" s="173"/>
      <c r="G2" s="173"/>
      <c r="H2" s="173"/>
      <c r="I2" s="173"/>
      <c r="J2" s="173"/>
      <c r="K2" s="173"/>
      <c r="L2" s="173"/>
      <c r="M2" s="173"/>
      <c r="N2" s="173"/>
      <c r="O2" s="173"/>
      <c r="P2" s="174"/>
    </row>
    <row r="3" spans="1:16" ht="30">
      <c r="A3" s="172"/>
      <c r="B3" s="173"/>
      <c r="C3" s="173"/>
      <c r="D3" s="175"/>
      <c r="E3" s="173"/>
      <c r="F3" s="173"/>
      <c r="G3" s="173"/>
      <c r="H3" s="173"/>
      <c r="I3" s="173"/>
      <c r="J3" s="173"/>
      <c r="K3" s="173"/>
      <c r="L3" s="176"/>
      <c r="M3" s="173"/>
      <c r="N3" s="173"/>
      <c r="O3" s="173"/>
      <c r="P3" s="174"/>
    </row>
    <row r="4" spans="1:16" ht="23">
      <c r="A4" s="172"/>
      <c r="B4" s="173"/>
      <c r="C4" s="173"/>
      <c r="D4" s="177"/>
      <c r="E4" s="173"/>
      <c r="F4" s="173"/>
      <c r="G4" s="173"/>
      <c r="H4" s="173"/>
      <c r="I4" s="173"/>
      <c r="J4" s="173"/>
      <c r="K4" s="173"/>
      <c r="L4" s="173"/>
      <c r="M4" s="173"/>
      <c r="N4" s="173"/>
      <c r="O4" s="173"/>
      <c r="P4" s="174"/>
    </row>
    <row r="5" spans="1:16">
      <c r="A5" s="172"/>
      <c r="B5" s="173"/>
      <c r="C5" s="173"/>
      <c r="D5" s="173"/>
      <c r="E5" s="173"/>
      <c r="F5" s="173"/>
      <c r="G5" s="173"/>
      <c r="H5" s="173"/>
      <c r="I5" s="173"/>
      <c r="J5" s="173"/>
      <c r="K5" s="173"/>
      <c r="L5" s="173"/>
      <c r="M5" s="173"/>
      <c r="N5" s="173"/>
      <c r="O5" s="173"/>
      <c r="P5" s="174"/>
    </row>
    <row r="6" spans="1:16">
      <c r="A6" s="172"/>
      <c r="B6" s="173"/>
      <c r="C6" s="173"/>
      <c r="D6" s="173"/>
      <c r="E6" s="173"/>
      <c r="F6" s="173"/>
      <c r="G6" s="173"/>
      <c r="H6" s="173"/>
      <c r="I6" s="173"/>
      <c r="J6" s="173"/>
      <c r="K6" s="173"/>
      <c r="L6" s="173"/>
      <c r="M6" s="173"/>
      <c r="N6" s="173"/>
      <c r="O6" s="173"/>
      <c r="P6" s="174"/>
    </row>
    <row r="7" spans="1:16" ht="16">
      <c r="A7" s="172"/>
      <c r="B7" s="173"/>
      <c r="C7" s="173"/>
      <c r="D7" s="173"/>
      <c r="E7" s="173"/>
      <c r="F7" s="173"/>
      <c r="G7" s="173"/>
      <c r="H7" s="173"/>
      <c r="I7" s="173"/>
      <c r="J7" s="173"/>
      <c r="K7" s="173"/>
      <c r="L7" s="173"/>
      <c r="M7" s="176" t="s">
        <v>429</v>
      </c>
      <c r="N7" s="173"/>
      <c r="O7" s="173"/>
      <c r="P7" s="174"/>
    </row>
    <row r="8" spans="1:16" ht="30">
      <c r="A8" s="172"/>
      <c r="B8" s="175" t="s">
        <v>652</v>
      </c>
      <c r="C8" s="173"/>
      <c r="D8" s="173"/>
      <c r="E8" s="173"/>
      <c r="F8" s="173"/>
      <c r="G8" s="173"/>
      <c r="H8" s="173"/>
      <c r="I8" s="173"/>
      <c r="J8" s="173"/>
      <c r="K8" s="173"/>
      <c r="L8" s="173"/>
      <c r="M8" s="173"/>
      <c r="N8" s="173"/>
      <c r="O8" s="173"/>
      <c r="P8" s="174"/>
    </row>
    <row r="9" spans="1:16">
      <c r="A9" s="172"/>
      <c r="B9" s="173"/>
      <c r="C9" s="173"/>
      <c r="D9" s="173"/>
      <c r="E9" s="173"/>
      <c r="F9" s="173"/>
      <c r="G9" s="173"/>
      <c r="H9" s="173"/>
      <c r="I9" s="173"/>
      <c r="J9" s="173"/>
      <c r="K9" s="173"/>
      <c r="L9" s="173"/>
      <c r="M9" s="173"/>
      <c r="N9" s="173"/>
      <c r="O9" s="173"/>
      <c r="P9" s="174"/>
    </row>
    <row r="10" spans="1:16" ht="20">
      <c r="A10" s="172"/>
      <c r="B10" s="178" t="s">
        <v>425</v>
      </c>
      <c r="C10" s="173"/>
      <c r="D10" s="173"/>
      <c r="E10" s="173"/>
      <c r="F10" s="173"/>
      <c r="G10" s="173"/>
      <c r="H10" s="173"/>
      <c r="I10" s="173"/>
      <c r="J10" s="173"/>
      <c r="K10" s="173"/>
      <c r="L10" s="173"/>
      <c r="M10" s="173"/>
      <c r="N10" s="173"/>
      <c r="O10" s="173"/>
      <c r="P10" s="174"/>
    </row>
    <row r="11" spans="1:16" ht="13" customHeight="1">
      <c r="A11" s="172"/>
      <c r="B11" s="178"/>
      <c r="C11" s="173"/>
      <c r="D11" s="173"/>
      <c r="E11" s="173"/>
      <c r="F11" s="173"/>
      <c r="G11" s="173"/>
      <c r="H11" s="173"/>
      <c r="I11" s="173"/>
      <c r="J11" s="173"/>
      <c r="K11" s="173"/>
      <c r="L11" s="173"/>
      <c r="M11" s="173"/>
      <c r="N11" s="173"/>
      <c r="O11" s="173"/>
      <c r="P11" s="174"/>
    </row>
    <row r="12" spans="1:16" ht="14">
      <c r="A12" s="172"/>
      <c r="B12" s="179" t="s">
        <v>653</v>
      </c>
      <c r="C12" s="180"/>
      <c r="D12" s="180"/>
      <c r="E12" s="180"/>
      <c r="F12" s="173"/>
      <c r="G12" s="173"/>
      <c r="H12" s="173"/>
      <c r="I12" s="302" t="s">
        <v>449</v>
      </c>
      <c r="J12" s="173"/>
      <c r="K12" s="173"/>
      <c r="L12" s="173"/>
      <c r="M12" s="173"/>
      <c r="N12" s="173"/>
      <c r="O12" s="173"/>
      <c r="P12" s="174"/>
    </row>
    <row r="13" spans="1:16" ht="14">
      <c r="A13" s="172"/>
      <c r="B13" s="179" t="s">
        <v>654</v>
      </c>
      <c r="C13" s="180"/>
      <c r="D13" s="180"/>
      <c r="E13" s="180"/>
      <c r="F13" s="353" t="s">
        <v>438</v>
      </c>
      <c r="G13" s="353"/>
      <c r="H13" s="353"/>
      <c r="I13" s="353"/>
      <c r="J13" s="353"/>
      <c r="K13" s="353"/>
      <c r="L13" s="173"/>
      <c r="M13" s="173"/>
      <c r="N13" s="173"/>
      <c r="O13" s="173"/>
      <c r="P13" s="174"/>
    </row>
    <row r="14" spans="1:16">
      <c r="A14" s="172"/>
      <c r="B14" s="173"/>
      <c r="C14" s="173"/>
      <c r="D14" s="173"/>
      <c r="E14" s="173"/>
      <c r="F14" s="173"/>
      <c r="G14" s="173"/>
      <c r="H14" s="173"/>
      <c r="I14" s="173"/>
      <c r="J14" s="173"/>
      <c r="K14" s="173"/>
      <c r="L14" s="173"/>
      <c r="M14" s="173"/>
      <c r="N14" s="173"/>
      <c r="O14" s="173"/>
      <c r="P14" s="174"/>
    </row>
    <row r="15" spans="1:16">
      <c r="A15" s="172"/>
      <c r="B15" s="96"/>
      <c r="C15" s="302"/>
      <c r="D15" s="302"/>
      <c r="E15" s="173"/>
      <c r="F15" s="173"/>
      <c r="G15" s="173"/>
      <c r="H15" s="173"/>
      <c r="I15" s="173"/>
      <c r="J15" s="173"/>
      <c r="K15" s="173"/>
      <c r="L15" s="173"/>
      <c r="M15" s="173"/>
      <c r="N15" s="173"/>
      <c r="O15" s="173"/>
      <c r="P15" s="174"/>
    </row>
    <row r="16" spans="1:16">
      <c r="A16" s="303" t="s">
        <v>621</v>
      </c>
      <c r="B16" s="296" t="s">
        <v>655</v>
      </c>
      <c r="C16" s="295"/>
      <c r="D16" s="295"/>
      <c r="E16" s="295"/>
      <c r="F16" s="295"/>
      <c r="G16" s="295"/>
      <c r="H16" s="295"/>
      <c r="I16" s="295"/>
      <c r="J16" s="295"/>
      <c r="K16" s="295"/>
      <c r="L16" s="295"/>
      <c r="M16" s="295"/>
      <c r="N16" s="295"/>
      <c r="O16" s="295"/>
      <c r="P16" s="304"/>
    </row>
    <row r="17" spans="1:16">
      <c r="A17" s="303"/>
      <c r="B17" s="296" t="s">
        <v>622</v>
      </c>
      <c r="C17" s="295"/>
      <c r="D17" s="295"/>
      <c r="E17" s="295"/>
      <c r="F17" s="295"/>
      <c r="G17" s="295"/>
      <c r="H17" s="295"/>
      <c r="I17" s="295"/>
      <c r="J17" s="295"/>
      <c r="K17" s="295"/>
      <c r="L17" s="295"/>
      <c r="M17" s="295"/>
      <c r="N17" s="295"/>
      <c r="O17" s="295"/>
      <c r="P17" s="304"/>
    </row>
    <row r="18" spans="1:16">
      <c r="A18" s="305"/>
      <c r="B18" s="96"/>
      <c r="C18" s="296" t="s">
        <v>623</v>
      </c>
      <c r="D18" s="295"/>
      <c r="E18" s="295"/>
      <c r="F18" s="295"/>
      <c r="G18" s="295"/>
      <c r="H18" s="295"/>
      <c r="I18" s="295"/>
      <c r="J18" s="295"/>
      <c r="K18" s="295"/>
      <c r="L18" s="295"/>
      <c r="M18" s="295"/>
      <c r="N18" s="295"/>
      <c r="O18" s="295"/>
      <c r="P18" s="304"/>
    </row>
    <row r="19" spans="1:16">
      <c r="A19" s="305"/>
      <c r="B19" s="296"/>
      <c r="C19" s="296" t="s">
        <v>656</v>
      </c>
      <c r="D19" s="295"/>
      <c r="E19" s="295"/>
      <c r="F19" s="295"/>
      <c r="G19" s="295"/>
      <c r="H19" s="295"/>
      <c r="I19" s="295"/>
      <c r="J19" s="295"/>
      <c r="K19" s="295"/>
      <c r="L19" s="295"/>
      <c r="M19" s="295"/>
      <c r="N19" s="295"/>
      <c r="O19" s="295"/>
      <c r="P19" s="304"/>
    </row>
    <row r="20" spans="1:16">
      <c r="A20" s="305"/>
      <c r="B20" s="296"/>
      <c r="C20" s="296" t="s">
        <v>624</v>
      </c>
      <c r="D20" s="295"/>
      <c r="E20" s="295"/>
      <c r="F20" s="295"/>
      <c r="G20" s="295"/>
      <c r="H20" s="295"/>
      <c r="I20" s="295"/>
      <c r="J20" s="295"/>
      <c r="K20" s="295"/>
      <c r="L20" s="295"/>
      <c r="M20" s="295"/>
      <c r="N20" s="295"/>
      <c r="O20" s="295"/>
      <c r="P20" s="304"/>
    </row>
    <row r="21" spans="1:16">
      <c r="A21" s="305"/>
      <c r="B21" s="296" t="s">
        <v>625</v>
      </c>
      <c r="C21" s="295"/>
      <c r="D21" s="295"/>
      <c r="E21" s="295"/>
      <c r="F21" s="295"/>
      <c r="G21" s="295"/>
      <c r="H21" s="295"/>
      <c r="I21" s="295"/>
      <c r="J21" s="295"/>
      <c r="K21" s="295"/>
      <c r="L21" s="295"/>
      <c r="M21" s="295"/>
      <c r="N21" s="295"/>
      <c r="O21" s="295"/>
      <c r="P21" s="304"/>
    </row>
    <row r="22" spans="1:16">
      <c r="A22" s="305"/>
      <c r="B22" s="296"/>
      <c r="C22" s="295"/>
      <c r="D22" s="295"/>
      <c r="E22" s="295"/>
      <c r="F22" s="295"/>
      <c r="G22" s="295"/>
      <c r="H22" s="295"/>
      <c r="I22" s="295"/>
      <c r="J22" s="295"/>
      <c r="K22" s="295"/>
      <c r="L22" s="295"/>
      <c r="M22" s="295"/>
      <c r="N22" s="295"/>
      <c r="O22" s="295"/>
      <c r="P22" s="304"/>
    </row>
    <row r="23" spans="1:16">
      <c r="A23" s="303" t="s">
        <v>626</v>
      </c>
      <c r="B23" s="296" t="s">
        <v>627</v>
      </c>
      <c r="C23" s="295"/>
      <c r="D23" s="295"/>
      <c r="E23" s="295"/>
      <c r="F23" s="295"/>
      <c r="G23" s="295"/>
      <c r="H23" s="295"/>
      <c r="I23" s="295"/>
      <c r="J23" s="295"/>
      <c r="K23" s="295"/>
      <c r="L23" s="295"/>
      <c r="M23" s="295"/>
      <c r="N23" s="295"/>
      <c r="O23" s="295"/>
      <c r="P23" s="304"/>
    </row>
    <row r="24" spans="1:16">
      <c r="A24" s="305"/>
      <c r="B24" s="296" t="s">
        <v>657</v>
      </c>
      <c r="C24" s="295"/>
      <c r="D24" s="295"/>
      <c r="E24" s="295"/>
      <c r="F24" s="295"/>
      <c r="G24" s="295"/>
      <c r="H24" s="295"/>
      <c r="I24" s="295"/>
      <c r="J24" s="295"/>
      <c r="K24" s="295"/>
      <c r="L24" s="295"/>
      <c r="M24" s="295"/>
      <c r="N24" s="295"/>
      <c r="O24" s="295"/>
      <c r="P24" s="304"/>
    </row>
    <row r="25" spans="1:16">
      <c r="A25" s="305"/>
      <c r="B25" s="296"/>
      <c r="C25" s="295"/>
      <c r="D25" s="295"/>
      <c r="E25" s="295"/>
      <c r="F25" s="295"/>
      <c r="G25" s="295"/>
      <c r="H25" s="295"/>
      <c r="I25" s="295"/>
      <c r="J25" s="295"/>
      <c r="K25" s="295"/>
      <c r="L25" s="295"/>
      <c r="M25" s="295"/>
      <c r="N25" s="295"/>
      <c r="O25" s="295"/>
      <c r="P25" s="304"/>
    </row>
    <row r="26" spans="1:16">
      <c r="A26" s="303" t="s">
        <v>628</v>
      </c>
      <c r="B26" s="296" t="s">
        <v>629</v>
      </c>
      <c r="C26" s="295"/>
      <c r="D26" s="295"/>
      <c r="E26" s="295"/>
      <c r="F26" s="295"/>
      <c r="G26" s="295"/>
      <c r="H26" s="295"/>
      <c r="I26" s="295"/>
      <c r="J26" s="295"/>
      <c r="K26" s="295"/>
      <c r="L26" s="295"/>
      <c r="M26" s="295"/>
      <c r="N26" s="295"/>
      <c r="O26" s="295"/>
      <c r="P26" s="304"/>
    </row>
    <row r="27" spans="1:16">
      <c r="A27" s="305"/>
      <c r="B27" s="296" t="s">
        <v>658</v>
      </c>
      <c r="C27" s="295"/>
      <c r="D27" s="295"/>
      <c r="E27" s="295"/>
      <c r="F27" s="295"/>
      <c r="G27" s="295"/>
      <c r="H27" s="295"/>
      <c r="I27" s="295"/>
      <c r="J27" s="295"/>
      <c r="K27" s="295"/>
      <c r="L27" s="295"/>
      <c r="M27" s="295"/>
      <c r="N27" s="295"/>
      <c r="O27" s="295"/>
      <c r="P27" s="304"/>
    </row>
    <row r="28" spans="1:16">
      <c r="A28" s="305"/>
      <c r="B28" s="296"/>
      <c r="C28" s="296" t="s">
        <v>630</v>
      </c>
      <c r="D28" s="295"/>
      <c r="E28" s="295"/>
      <c r="F28" s="295"/>
      <c r="G28" s="295"/>
      <c r="H28" s="295"/>
      <c r="I28" s="295"/>
      <c r="J28" s="295"/>
      <c r="K28" s="295"/>
      <c r="L28" s="295"/>
      <c r="M28" s="295"/>
      <c r="N28" s="295"/>
      <c r="O28" s="295"/>
      <c r="P28" s="304"/>
    </row>
    <row r="29" spans="1:16">
      <c r="A29" s="305"/>
      <c r="B29" s="96"/>
      <c r="C29" s="306" t="s">
        <v>631</v>
      </c>
      <c r="D29" s="295"/>
      <c r="E29" s="295"/>
      <c r="F29" s="295"/>
      <c r="G29" s="295"/>
      <c r="H29" s="295"/>
      <c r="I29" s="295"/>
      <c r="J29" s="295"/>
      <c r="K29" s="295"/>
      <c r="L29" s="295"/>
      <c r="M29" s="295"/>
      <c r="N29" s="295"/>
      <c r="O29" s="295"/>
      <c r="P29" s="304"/>
    </row>
    <row r="30" spans="1:16">
      <c r="A30" s="305"/>
      <c r="B30" s="297" t="s">
        <v>632</v>
      </c>
      <c r="C30" s="297"/>
      <c r="D30" s="295"/>
      <c r="E30" s="295"/>
      <c r="F30" s="295"/>
      <c r="G30" s="295"/>
      <c r="H30" s="295"/>
      <c r="I30" s="295"/>
      <c r="J30" s="295"/>
      <c r="K30" s="295"/>
      <c r="L30" s="295"/>
      <c r="M30" s="295"/>
      <c r="N30" s="295"/>
      <c r="O30" s="295"/>
      <c r="P30" s="304"/>
    </row>
    <row r="31" spans="1:16">
      <c r="A31" s="305"/>
      <c r="B31" s="96"/>
      <c r="C31" s="297" t="s">
        <v>659</v>
      </c>
      <c r="D31" s="295"/>
      <c r="E31" s="295"/>
      <c r="F31" s="295"/>
      <c r="G31" s="295"/>
      <c r="H31" s="295"/>
      <c r="I31" s="295"/>
      <c r="J31" s="295"/>
      <c r="K31" s="295"/>
      <c r="L31" s="295"/>
      <c r="M31" s="295"/>
      <c r="N31" s="295"/>
      <c r="O31" s="295"/>
      <c r="P31" s="304"/>
    </row>
    <row r="32" spans="1:16">
      <c r="A32" s="305"/>
      <c r="B32" s="96"/>
      <c r="C32" s="297" t="s">
        <v>660</v>
      </c>
      <c r="D32" s="295"/>
      <c r="E32" s="295"/>
      <c r="F32" s="295"/>
      <c r="G32" s="295"/>
      <c r="H32" s="295"/>
      <c r="I32" s="295"/>
      <c r="J32" s="295"/>
      <c r="K32" s="295"/>
      <c r="L32" s="295"/>
      <c r="M32" s="295"/>
      <c r="N32" s="295"/>
      <c r="O32" s="295"/>
      <c r="P32" s="304"/>
    </row>
    <row r="33" spans="1:16">
      <c r="A33" s="305"/>
      <c r="B33" s="296" t="s">
        <v>633</v>
      </c>
      <c r="C33" s="96"/>
      <c r="D33" s="295"/>
      <c r="E33" s="295"/>
      <c r="F33" s="295"/>
      <c r="G33" s="295"/>
      <c r="H33" s="295"/>
      <c r="I33" s="295"/>
      <c r="J33" s="295"/>
      <c r="K33" s="295"/>
      <c r="L33" s="295"/>
      <c r="M33" s="295"/>
      <c r="N33" s="295"/>
      <c r="O33" s="295"/>
      <c r="P33" s="304"/>
    </row>
    <row r="34" spans="1:16">
      <c r="A34" s="305"/>
      <c r="B34" s="296" t="s">
        <v>634</v>
      </c>
      <c r="C34" s="295"/>
      <c r="D34" s="295"/>
      <c r="E34" s="295"/>
      <c r="F34" s="295"/>
      <c r="G34" s="295"/>
      <c r="H34" s="295"/>
      <c r="I34" s="295"/>
      <c r="J34" s="295"/>
      <c r="K34" s="295"/>
      <c r="L34" s="295"/>
      <c r="M34" s="295"/>
      <c r="N34" s="295"/>
      <c r="O34" s="295"/>
      <c r="P34" s="304"/>
    </row>
    <row r="35" spans="1:16">
      <c r="A35" s="305"/>
      <c r="B35" s="296"/>
      <c r="C35" s="295"/>
      <c r="D35" s="295"/>
      <c r="E35" s="295"/>
      <c r="F35" s="295"/>
      <c r="G35" s="295"/>
      <c r="H35" s="295"/>
      <c r="I35" s="295"/>
      <c r="J35" s="295"/>
      <c r="K35" s="295"/>
      <c r="L35" s="295"/>
      <c r="M35" s="295"/>
      <c r="N35" s="295"/>
      <c r="O35" s="295"/>
      <c r="P35" s="304"/>
    </row>
    <row r="36" spans="1:16">
      <c r="A36" s="303" t="s">
        <v>635</v>
      </c>
      <c r="B36" s="296" t="s">
        <v>636</v>
      </c>
      <c r="C36" s="295"/>
      <c r="D36" s="295"/>
      <c r="E36" s="295"/>
      <c r="F36" s="295"/>
      <c r="G36" s="295"/>
      <c r="H36" s="295"/>
      <c r="I36" s="295"/>
      <c r="J36" s="295"/>
      <c r="K36" s="295"/>
      <c r="L36" s="295"/>
      <c r="M36" s="295"/>
      <c r="N36" s="295"/>
      <c r="O36" s="295"/>
      <c r="P36" s="304"/>
    </row>
    <row r="37" spans="1:16">
      <c r="A37" s="305"/>
      <c r="B37" s="296" t="s">
        <v>637</v>
      </c>
      <c r="C37" s="295"/>
      <c r="D37" s="295"/>
      <c r="E37" s="295"/>
      <c r="F37" s="295"/>
      <c r="G37" s="295"/>
      <c r="H37" s="295"/>
      <c r="I37" s="295"/>
      <c r="J37" s="295"/>
      <c r="K37" s="295"/>
      <c r="L37" s="295"/>
      <c r="M37" s="295"/>
      <c r="N37" s="295"/>
      <c r="O37" s="295"/>
      <c r="P37" s="304"/>
    </row>
    <row r="38" spans="1:16">
      <c r="A38" s="305"/>
      <c r="B38" s="296" t="s">
        <v>661</v>
      </c>
      <c r="C38" s="295"/>
      <c r="D38" s="295"/>
      <c r="E38" s="295"/>
      <c r="F38" s="295"/>
      <c r="G38" s="295"/>
      <c r="H38" s="295"/>
      <c r="I38" s="295"/>
      <c r="J38" s="295"/>
      <c r="K38" s="295"/>
      <c r="L38" s="295"/>
      <c r="M38" s="295"/>
      <c r="N38" s="295"/>
      <c r="O38" s="295"/>
      <c r="P38" s="304"/>
    </row>
    <row r="39" spans="1:16">
      <c r="A39" s="305"/>
      <c r="B39" s="296"/>
      <c r="C39" s="295"/>
      <c r="D39" s="295"/>
      <c r="E39" s="295"/>
      <c r="F39" s="295"/>
      <c r="G39" s="295"/>
      <c r="H39" s="295"/>
      <c r="I39" s="295"/>
      <c r="J39" s="295"/>
      <c r="K39" s="295"/>
      <c r="L39" s="295"/>
      <c r="M39" s="295"/>
      <c r="N39" s="295"/>
      <c r="O39" s="295"/>
      <c r="P39" s="304"/>
    </row>
    <row r="40" spans="1:16">
      <c r="A40" s="303" t="s">
        <v>638</v>
      </c>
      <c r="B40" s="296" t="s">
        <v>639</v>
      </c>
      <c r="C40" s="295"/>
      <c r="D40" s="295"/>
      <c r="E40" s="295"/>
      <c r="F40" s="295"/>
      <c r="G40" s="295"/>
      <c r="H40" s="295"/>
      <c r="I40" s="295"/>
      <c r="J40" s="295"/>
      <c r="K40" s="295"/>
      <c r="L40" s="295"/>
      <c r="M40" s="295"/>
      <c r="N40" s="295"/>
      <c r="O40" s="295"/>
      <c r="P40" s="304"/>
    </row>
    <row r="41" spans="1:16">
      <c r="A41" s="307"/>
      <c r="B41" s="298" t="s">
        <v>640</v>
      </c>
      <c r="C41" s="295"/>
      <c r="D41" s="295"/>
      <c r="E41" s="295"/>
      <c r="F41" s="295"/>
      <c r="G41" s="295"/>
      <c r="H41" s="295"/>
      <c r="I41" s="295"/>
      <c r="J41" s="295"/>
      <c r="K41" s="295"/>
      <c r="L41" s="295"/>
      <c r="M41" s="295"/>
      <c r="N41" s="295"/>
      <c r="O41" s="295"/>
      <c r="P41" s="304"/>
    </row>
    <row r="42" spans="1:16">
      <c r="A42" s="307"/>
      <c r="B42" s="296" t="s">
        <v>641</v>
      </c>
      <c r="C42" s="295"/>
      <c r="D42" s="295"/>
      <c r="E42" s="295"/>
      <c r="F42" s="295"/>
      <c r="G42" s="295"/>
      <c r="H42" s="295"/>
      <c r="I42" s="295"/>
      <c r="J42" s="295"/>
      <c r="K42" s="295"/>
      <c r="L42" s="295"/>
      <c r="M42" s="295"/>
      <c r="N42" s="295"/>
      <c r="O42" s="295"/>
      <c r="P42" s="304"/>
    </row>
    <row r="43" spans="1:16">
      <c r="A43" s="307"/>
      <c r="B43" s="296"/>
      <c r="C43" s="295"/>
      <c r="D43" s="295"/>
      <c r="E43" s="295"/>
      <c r="F43" s="295"/>
      <c r="G43" s="295"/>
      <c r="H43" s="295"/>
      <c r="I43" s="295"/>
      <c r="J43" s="295"/>
      <c r="K43" s="295"/>
      <c r="L43" s="295"/>
      <c r="M43" s="295"/>
      <c r="N43" s="295"/>
      <c r="O43" s="295"/>
      <c r="P43" s="304"/>
    </row>
    <row r="44" spans="1:16">
      <c r="A44" s="303" t="s">
        <v>642</v>
      </c>
      <c r="B44" s="296" t="s">
        <v>643</v>
      </c>
      <c r="C44" s="295"/>
      <c r="D44" s="295"/>
      <c r="E44" s="295"/>
      <c r="F44" s="295"/>
      <c r="G44" s="295"/>
      <c r="H44" s="295"/>
      <c r="I44" s="295"/>
      <c r="J44" s="295"/>
      <c r="K44" s="295"/>
      <c r="L44" s="295"/>
      <c r="M44" s="295"/>
      <c r="N44" s="295"/>
      <c r="O44" s="295"/>
      <c r="P44" s="304"/>
    </row>
    <row r="45" spans="1:16">
      <c r="A45" s="305"/>
      <c r="B45" s="296"/>
      <c r="C45" s="295"/>
      <c r="D45" s="295"/>
      <c r="E45" s="295"/>
      <c r="F45" s="295"/>
      <c r="G45" s="295"/>
      <c r="H45" s="295"/>
      <c r="I45" s="295"/>
      <c r="J45" s="295"/>
      <c r="K45" s="295"/>
      <c r="L45" s="295"/>
      <c r="M45" s="295"/>
      <c r="N45" s="295"/>
      <c r="O45" s="295"/>
      <c r="P45" s="304"/>
    </row>
    <row r="46" spans="1:16">
      <c r="A46" s="305"/>
      <c r="B46" s="296" t="s">
        <v>662</v>
      </c>
      <c r="C46" s="295"/>
      <c r="D46" s="295"/>
      <c r="E46" s="295"/>
      <c r="F46" s="295"/>
      <c r="G46" s="295"/>
      <c r="H46" s="295"/>
      <c r="I46" s="295"/>
      <c r="J46" s="295"/>
      <c r="K46" s="295"/>
      <c r="L46" s="295"/>
      <c r="M46" s="295"/>
      <c r="N46" s="295"/>
      <c r="O46" s="295"/>
      <c r="P46" s="304"/>
    </row>
    <row r="47" spans="1:16">
      <c r="A47" s="305"/>
      <c r="B47" s="296"/>
      <c r="C47" s="295"/>
      <c r="D47" s="295"/>
      <c r="E47" s="295"/>
      <c r="F47" s="295"/>
      <c r="G47" s="295"/>
      <c r="H47" s="295"/>
      <c r="I47" s="295"/>
      <c r="J47" s="295"/>
      <c r="K47" s="295"/>
      <c r="L47" s="295"/>
      <c r="M47" s="295"/>
      <c r="N47" s="295"/>
      <c r="O47" s="295"/>
      <c r="P47" s="304"/>
    </row>
    <row r="48" spans="1:16" ht="20">
      <c r="A48" s="172"/>
      <c r="B48" s="178" t="s">
        <v>426</v>
      </c>
      <c r="C48" s="173"/>
      <c r="D48" s="173"/>
      <c r="E48" s="173"/>
      <c r="F48" s="173"/>
      <c r="G48" s="173"/>
      <c r="H48" s="173"/>
      <c r="I48" s="173"/>
      <c r="J48" s="173"/>
      <c r="K48" s="173"/>
      <c r="L48" s="173"/>
      <c r="M48" s="173"/>
      <c r="N48" s="173"/>
      <c r="O48" s="173"/>
      <c r="P48" s="174"/>
    </row>
    <row r="49" spans="1:16">
      <c r="A49" s="172"/>
      <c r="B49" s="184" t="s">
        <v>432</v>
      </c>
      <c r="C49" s="173"/>
      <c r="D49" s="173"/>
      <c r="E49" s="173"/>
      <c r="F49" s="173"/>
      <c r="G49" s="173"/>
      <c r="H49" s="173"/>
      <c r="I49" s="173"/>
      <c r="J49" s="173"/>
      <c r="K49" s="173"/>
      <c r="L49" s="173"/>
      <c r="M49" s="173"/>
      <c r="N49" s="173"/>
      <c r="O49" s="173"/>
      <c r="P49" s="174"/>
    </row>
    <row r="50" spans="1:16">
      <c r="A50" s="172"/>
      <c r="B50" s="173" t="s">
        <v>427</v>
      </c>
      <c r="C50" s="173"/>
      <c r="D50" s="173"/>
      <c r="E50" s="173"/>
      <c r="F50" s="173"/>
      <c r="G50" s="173"/>
      <c r="H50" s="173"/>
      <c r="I50" s="173"/>
      <c r="J50" s="173"/>
      <c r="K50" s="173"/>
      <c r="L50" s="173"/>
      <c r="M50" s="173"/>
      <c r="N50" s="173"/>
      <c r="O50" s="173"/>
      <c r="P50" s="174"/>
    </row>
    <row r="51" spans="1:16">
      <c r="A51" s="172"/>
      <c r="B51" s="173"/>
      <c r="C51" s="173"/>
      <c r="D51" s="173"/>
      <c r="E51" s="173"/>
      <c r="F51" s="173"/>
      <c r="G51" s="173"/>
      <c r="H51" s="173"/>
      <c r="I51" s="173"/>
      <c r="J51" s="173"/>
      <c r="K51" s="173"/>
      <c r="L51" s="173"/>
      <c r="M51" s="173"/>
      <c r="N51" s="173"/>
      <c r="O51" s="173"/>
      <c r="P51" s="174"/>
    </row>
    <row r="52" spans="1:16">
      <c r="A52" s="172"/>
      <c r="B52" s="184" t="s">
        <v>431</v>
      </c>
      <c r="C52" s="173"/>
      <c r="D52" s="173"/>
      <c r="E52" s="173"/>
      <c r="F52" s="173"/>
      <c r="G52" s="173"/>
      <c r="H52" s="173"/>
      <c r="I52" s="173"/>
      <c r="J52" s="173"/>
      <c r="K52" s="173"/>
      <c r="L52" s="173"/>
      <c r="M52" s="173"/>
      <c r="N52" s="173"/>
      <c r="O52" s="173"/>
      <c r="P52" s="174"/>
    </row>
    <row r="53" spans="1:16">
      <c r="A53" s="172"/>
      <c r="B53" s="173"/>
      <c r="C53" s="173"/>
      <c r="D53" s="173"/>
      <c r="E53" s="173"/>
      <c r="F53" s="173"/>
      <c r="G53" s="173"/>
      <c r="H53" s="173"/>
      <c r="I53" s="173"/>
      <c r="J53" s="173"/>
      <c r="K53" s="173"/>
      <c r="L53" s="173"/>
      <c r="M53" s="173"/>
      <c r="N53" s="173"/>
      <c r="O53" s="173"/>
      <c r="P53" s="174"/>
    </row>
    <row r="54" spans="1:16">
      <c r="A54" s="172"/>
      <c r="B54" s="173" t="s">
        <v>428</v>
      </c>
      <c r="C54" s="173"/>
      <c r="D54" s="173"/>
      <c r="E54" s="173"/>
      <c r="F54" s="173"/>
      <c r="G54" s="173"/>
      <c r="H54" s="173"/>
      <c r="I54" s="173"/>
      <c r="J54" s="173"/>
      <c r="K54" s="173"/>
      <c r="L54" s="173"/>
      <c r="M54" s="173"/>
      <c r="N54" s="173"/>
      <c r="O54" s="173"/>
      <c r="P54" s="174"/>
    </row>
    <row r="55" spans="1:16">
      <c r="A55" s="172"/>
      <c r="B55" s="184"/>
      <c r="C55" s="173"/>
      <c r="D55" s="173"/>
      <c r="E55" s="173"/>
      <c r="F55" s="173"/>
      <c r="G55" s="173"/>
      <c r="H55" s="173"/>
      <c r="I55" s="173"/>
      <c r="J55" s="173"/>
      <c r="K55" s="173"/>
      <c r="L55" s="173"/>
      <c r="M55" s="173"/>
      <c r="N55" s="173"/>
      <c r="O55" s="173"/>
      <c r="P55" s="174"/>
    </row>
    <row r="56" spans="1:16" ht="14" thickBot="1">
      <c r="A56" s="172"/>
      <c r="B56" s="184"/>
      <c r="C56" s="173"/>
      <c r="D56" s="173"/>
      <c r="E56" s="173"/>
      <c r="F56" s="173"/>
      <c r="G56" s="173"/>
      <c r="H56" s="173"/>
      <c r="I56" s="173"/>
      <c r="J56" s="173"/>
      <c r="K56" s="173"/>
      <c r="L56" s="173"/>
      <c r="M56" s="173"/>
      <c r="N56" s="173"/>
      <c r="O56" s="173"/>
      <c r="P56" s="174"/>
    </row>
    <row r="57" spans="1:16">
      <c r="A57" s="172"/>
      <c r="B57" s="344" t="s">
        <v>448</v>
      </c>
      <c r="C57" s="345"/>
      <c r="D57" s="345"/>
      <c r="E57" s="345"/>
      <c r="F57" s="345"/>
      <c r="G57" s="345"/>
      <c r="H57" s="345"/>
      <c r="I57" s="345"/>
      <c r="J57" s="345"/>
      <c r="K57" s="345"/>
      <c r="L57" s="345"/>
      <c r="M57" s="346"/>
      <c r="N57" s="173"/>
      <c r="O57" s="173"/>
      <c r="P57" s="174"/>
    </row>
    <row r="58" spans="1:16">
      <c r="A58" s="172"/>
      <c r="B58" s="347"/>
      <c r="C58" s="348"/>
      <c r="D58" s="348"/>
      <c r="E58" s="348"/>
      <c r="F58" s="348"/>
      <c r="G58" s="348"/>
      <c r="H58" s="348"/>
      <c r="I58" s="348"/>
      <c r="J58" s="348"/>
      <c r="K58" s="348"/>
      <c r="L58" s="348"/>
      <c r="M58" s="349"/>
      <c r="N58" s="173"/>
      <c r="O58" s="173"/>
      <c r="P58" s="174"/>
    </row>
    <row r="59" spans="1:16">
      <c r="A59" s="172"/>
      <c r="B59" s="347"/>
      <c r="C59" s="348"/>
      <c r="D59" s="348"/>
      <c r="E59" s="348"/>
      <c r="F59" s="348"/>
      <c r="G59" s="348"/>
      <c r="H59" s="348"/>
      <c r="I59" s="348"/>
      <c r="J59" s="348"/>
      <c r="K59" s="348"/>
      <c r="L59" s="348"/>
      <c r="M59" s="349"/>
      <c r="N59" s="173"/>
      <c r="O59" s="173"/>
      <c r="P59" s="174"/>
    </row>
    <row r="60" spans="1:16">
      <c r="A60" s="172"/>
      <c r="B60" s="347"/>
      <c r="C60" s="348"/>
      <c r="D60" s="348"/>
      <c r="E60" s="348"/>
      <c r="F60" s="348"/>
      <c r="G60" s="348"/>
      <c r="H60" s="348"/>
      <c r="I60" s="348"/>
      <c r="J60" s="348"/>
      <c r="K60" s="348"/>
      <c r="L60" s="348"/>
      <c r="M60" s="349"/>
      <c r="N60" s="173"/>
      <c r="O60" s="173"/>
      <c r="P60" s="174"/>
    </row>
    <row r="61" spans="1:16">
      <c r="A61" s="172"/>
      <c r="B61" s="347"/>
      <c r="C61" s="348"/>
      <c r="D61" s="348"/>
      <c r="E61" s="348"/>
      <c r="F61" s="348"/>
      <c r="G61" s="348"/>
      <c r="H61" s="348"/>
      <c r="I61" s="348"/>
      <c r="J61" s="348"/>
      <c r="K61" s="348"/>
      <c r="L61" s="348"/>
      <c r="M61" s="349"/>
      <c r="N61" s="173"/>
      <c r="O61" s="173"/>
      <c r="P61" s="174"/>
    </row>
    <row r="62" spans="1:16">
      <c r="A62" s="172"/>
      <c r="B62" s="347"/>
      <c r="C62" s="348"/>
      <c r="D62" s="348"/>
      <c r="E62" s="348"/>
      <c r="F62" s="348"/>
      <c r="G62" s="348"/>
      <c r="H62" s="348"/>
      <c r="I62" s="348"/>
      <c r="J62" s="348"/>
      <c r="K62" s="348"/>
      <c r="L62" s="348"/>
      <c r="M62" s="349"/>
      <c r="N62" s="173"/>
      <c r="O62" s="173"/>
      <c r="P62" s="174"/>
    </row>
    <row r="63" spans="1:16">
      <c r="A63" s="172"/>
      <c r="B63" s="347"/>
      <c r="C63" s="348"/>
      <c r="D63" s="348"/>
      <c r="E63" s="348"/>
      <c r="F63" s="348"/>
      <c r="G63" s="348"/>
      <c r="H63" s="348"/>
      <c r="I63" s="348"/>
      <c r="J63" s="348"/>
      <c r="K63" s="348"/>
      <c r="L63" s="348"/>
      <c r="M63" s="349"/>
      <c r="N63" s="173"/>
      <c r="O63" s="173"/>
      <c r="P63" s="174"/>
    </row>
    <row r="64" spans="1:16">
      <c r="A64" s="172"/>
      <c r="B64" s="347"/>
      <c r="C64" s="348"/>
      <c r="D64" s="348"/>
      <c r="E64" s="348"/>
      <c r="F64" s="348"/>
      <c r="G64" s="348"/>
      <c r="H64" s="348"/>
      <c r="I64" s="348"/>
      <c r="J64" s="348"/>
      <c r="K64" s="348"/>
      <c r="L64" s="348"/>
      <c r="M64" s="349"/>
      <c r="N64" s="173"/>
      <c r="O64" s="173"/>
      <c r="P64" s="174"/>
    </row>
    <row r="65" spans="1:16">
      <c r="A65" s="172"/>
      <c r="B65" s="347"/>
      <c r="C65" s="348"/>
      <c r="D65" s="348"/>
      <c r="E65" s="348"/>
      <c r="F65" s="348"/>
      <c r="G65" s="348"/>
      <c r="H65" s="348"/>
      <c r="I65" s="348"/>
      <c r="J65" s="348"/>
      <c r="K65" s="348"/>
      <c r="L65" s="348"/>
      <c r="M65" s="349"/>
      <c r="N65" s="173"/>
      <c r="O65" s="173"/>
      <c r="P65" s="174"/>
    </row>
    <row r="66" spans="1:16">
      <c r="A66" s="172"/>
      <c r="B66" s="347"/>
      <c r="C66" s="348"/>
      <c r="D66" s="348"/>
      <c r="E66" s="348"/>
      <c r="F66" s="348"/>
      <c r="G66" s="348"/>
      <c r="H66" s="348"/>
      <c r="I66" s="348"/>
      <c r="J66" s="348"/>
      <c r="K66" s="348"/>
      <c r="L66" s="348"/>
      <c r="M66" s="349"/>
      <c r="N66" s="173"/>
      <c r="O66" s="173"/>
      <c r="P66" s="174"/>
    </row>
    <row r="67" spans="1:16">
      <c r="A67" s="172"/>
      <c r="B67" s="347"/>
      <c r="C67" s="348"/>
      <c r="D67" s="348"/>
      <c r="E67" s="348"/>
      <c r="F67" s="348"/>
      <c r="G67" s="348"/>
      <c r="H67" s="348"/>
      <c r="I67" s="348"/>
      <c r="J67" s="348"/>
      <c r="K67" s="348"/>
      <c r="L67" s="348"/>
      <c r="M67" s="349"/>
      <c r="N67" s="173"/>
      <c r="O67" s="173"/>
      <c r="P67" s="174"/>
    </row>
    <row r="68" spans="1:16">
      <c r="A68" s="172"/>
      <c r="B68" s="347"/>
      <c r="C68" s="348"/>
      <c r="D68" s="348"/>
      <c r="E68" s="348"/>
      <c r="F68" s="348"/>
      <c r="G68" s="348"/>
      <c r="H68" s="348"/>
      <c r="I68" s="348"/>
      <c r="J68" s="348"/>
      <c r="K68" s="348"/>
      <c r="L68" s="348"/>
      <c r="M68" s="349"/>
      <c r="N68" s="173"/>
      <c r="O68" s="173"/>
      <c r="P68" s="174"/>
    </row>
    <row r="69" spans="1:16">
      <c r="A69" s="172"/>
      <c r="B69" s="347"/>
      <c r="C69" s="348"/>
      <c r="D69" s="348"/>
      <c r="E69" s="348"/>
      <c r="F69" s="348"/>
      <c r="G69" s="348"/>
      <c r="H69" s="348"/>
      <c r="I69" s="348"/>
      <c r="J69" s="348"/>
      <c r="K69" s="348"/>
      <c r="L69" s="348"/>
      <c r="M69" s="349"/>
      <c r="N69" s="173"/>
      <c r="O69" s="173"/>
      <c r="P69" s="174"/>
    </row>
    <row r="70" spans="1:16">
      <c r="A70" s="172"/>
      <c r="B70" s="347"/>
      <c r="C70" s="348"/>
      <c r="D70" s="348"/>
      <c r="E70" s="348"/>
      <c r="F70" s="348"/>
      <c r="G70" s="348"/>
      <c r="H70" s="348"/>
      <c r="I70" s="348"/>
      <c r="J70" s="348"/>
      <c r="K70" s="348"/>
      <c r="L70" s="348"/>
      <c r="M70" s="349"/>
      <c r="N70" s="173"/>
      <c r="O70" s="173"/>
      <c r="P70" s="174"/>
    </row>
    <row r="71" spans="1:16">
      <c r="A71" s="172"/>
      <c r="B71" s="347"/>
      <c r="C71" s="348"/>
      <c r="D71" s="348"/>
      <c r="E71" s="348"/>
      <c r="F71" s="348"/>
      <c r="G71" s="348"/>
      <c r="H71" s="348"/>
      <c r="I71" s="348"/>
      <c r="J71" s="348"/>
      <c r="K71" s="348"/>
      <c r="L71" s="348"/>
      <c r="M71" s="349"/>
      <c r="N71" s="173"/>
      <c r="O71" s="173"/>
      <c r="P71" s="174"/>
    </row>
    <row r="72" spans="1:16">
      <c r="A72" s="172"/>
      <c r="B72" s="347"/>
      <c r="C72" s="348"/>
      <c r="D72" s="348"/>
      <c r="E72" s="348"/>
      <c r="F72" s="348"/>
      <c r="G72" s="348"/>
      <c r="H72" s="348"/>
      <c r="I72" s="348"/>
      <c r="J72" s="348"/>
      <c r="K72" s="348"/>
      <c r="L72" s="348"/>
      <c r="M72" s="349"/>
      <c r="N72" s="173"/>
      <c r="O72" s="173"/>
      <c r="P72" s="174"/>
    </row>
    <row r="73" spans="1:16">
      <c r="A73" s="172"/>
      <c r="B73" s="347"/>
      <c r="C73" s="348"/>
      <c r="D73" s="348"/>
      <c r="E73" s="348"/>
      <c r="F73" s="348"/>
      <c r="G73" s="348"/>
      <c r="H73" s="348"/>
      <c r="I73" s="348"/>
      <c r="J73" s="348"/>
      <c r="K73" s="348"/>
      <c r="L73" s="348"/>
      <c r="M73" s="349"/>
      <c r="N73" s="173"/>
      <c r="O73" s="173"/>
      <c r="P73" s="174"/>
    </row>
    <row r="74" spans="1:16">
      <c r="A74" s="172"/>
      <c r="B74" s="347"/>
      <c r="C74" s="348"/>
      <c r="D74" s="348"/>
      <c r="E74" s="348"/>
      <c r="F74" s="348"/>
      <c r="G74" s="348"/>
      <c r="H74" s="348"/>
      <c r="I74" s="348"/>
      <c r="J74" s="348"/>
      <c r="K74" s="348"/>
      <c r="L74" s="348"/>
      <c r="M74" s="349"/>
      <c r="N74" s="173"/>
      <c r="O74" s="173"/>
      <c r="P74" s="174"/>
    </row>
    <row r="75" spans="1:16">
      <c r="A75" s="172"/>
      <c r="B75" s="347"/>
      <c r="C75" s="348"/>
      <c r="D75" s="348"/>
      <c r="E75" s="348"/>
      <c r="F75" s="348"/>
      <c r="G75" s="348"/>
      <c r="H75" s="348"/>
      <c r="I75" s="348"/>
      <c r="J75" s="348"/>
      <c r="K75" s="348"/>
      <c r="L75" s="348"/>
      <c r="M75" s="349"/>
      <c r="N75" s="173"/>
      <c r="O75" s="173"/>
      <c r="P75" s="174"/>
    </row>
    <row r="76" spans="1:16">
      <c r="A76" s="172"/>
      <c r="B76" s="347"/>
      <c r="C76" s="348"/>
      <c r="D76" s="348"/>
      <c r="E76" s="348"/>
      <c r="F76" s="348"/>
      <c r="G76" s="348"/>
      <c r="H76" s="348"/>
      <c r="I76" s="348"/>
      <c r="J76" s="348"/>
      <c r="K76" s="348"/>
      <c r="L76" s="348"/>
      <c r="M76" s="349"/>
      <c r="N76" s="173"/>
      <c r="O76" s="173"/>
      <c r="P76" s="174"/>
    </row>
    <row r="77" spans="1:16">
      <c r="A77" s="172"/>
      <c r="B77" s="347"/>
      <c r="C77" s="348"/>
      <c r="D77" s="348"/>
      <c r="E77" s="348"/>
      <c r="F77" s="348"/>
      <c r="G77" s="348"/>
      <c r="H77" s="348"/>
      <c r="I77" s="348"/>
      <c r="J77" s="348"/>
      <c r="K77" s="348"/>
      <c r="L77" s="348"/>
      <c r="M77" s="349"/>
      <c r="N77" s="173"/>
      <c r="O77" s="173"/>
      <c r="P77" s="174"/>
    </row>
    <row r="78" spans="1:16">
      <c r="A78" s="172"/>
      <c r="B78" s="347"/>
      <c r="C78" s="348"/>
      <c r="D78" s="348"/>
      <c r="E78" s="348"/>
      <c r="F78" s="348"/>
      <c r="G78" s="348"/>
      <c r="H78" s="348"/>
      <c r="I78" s="348"/>
      <c r="J78" s="348"/>
      <c r="K78" s="348"/>
      <c r="L78" s="348"/>
      <c r="M78" s="349"/>
      <c r="N78" s="173"/>
      <c r="O78" s="173"/>
      <c r="P78" s="174"/>
    </row>
    <row r="79" spans="1:16">
      <c r="A79" s="172"/>
      <c r="B79" s="347"/>
      <c r="C79" s="348"/>
      <c r="D79" s="348"/>
      <c r="E79" s="348"/>
      <c r="F79" s="348"/>
      <c r="G79" s="348"/>
      <c r="H79" s="348"/>
      <c r="I79" s="348"/>
      <c r="J79" s="348"/>
      <c r="K79" s="348"/>
      <c r="L79" s="348"/>
      <c r="M79" s="349"/>
      <c r="N79" s="173"/>
      <c r="O79" s="173"/>
      <c r="P79" s="174"/>
    </row>
    <row r="80" spans="1:16">
      <c r="A80" s="172"/>
      <c r="B80" s="347"/>
      <c r="C80" s="348"/>
      <c r="D80" s="348"/>
      <c r="E80" s="348"/>
      <c r="F80" s="348"/>
      <c r="G80" s="348"/>
      <c r="H80" s="348"/>
      <c r="I80" s="348"/>
      <c r="J80" s="348"/>
      <c r="K80" s="348"/>
      <c r="L80" s="348"/>
      <c r="M80" s="349"/>
      <c r="N80" s="173"/>
      <c r="O80" s="173"/>
      <c r="P80" s="174"/>
    </row>
    <row r="81" spans="1:16">
      <c r="A81" s="172"/>
      <c r="B81" s="347"/>
      <c r="C81" s="348"/>
      <c r="D81" s="348"/>
      <c r="E81" s="348"/>
      <c r="F81" s="348"/>
      <c r="G81" s="348"/>
      <c r="H81" s="348"/>
      <c r="I81" s="348"/>
      <c r="J81" s="348"/>
      <c r="K81" s="348"/>
      <c r="L81" s="348"/>
      <c r="M81" s="349"/>
      <c r="N81" s="173"/>
      <c r="O81" s="173"/>
      <c r="P81" s="174"/>
    </row>
    <row r="82" spans="1:16">
      <c r="A82" s="172"/>
      <c r="B82" s="347"/>
      <c r="C82" s="348"/>
      <c r="D82" s="348"/>
      <c r="E82" s="348"/>
      <c r="F82" s="348"/>
      <c r="G82" s="348"/>
      <c r="H82" s="348"/>
      <c r="I82" s="348"/>
      <c r="J82" s="348"/>
      <c r="K82" s="348"/>
      <c r="L82" s="348"/>
      <c r="M82" s="349"/>
      <c r="N82" s="173"/>
      <c r="O82" s="173"/>
      <c r="P82" s="174"/>
    </row>
    <row r="83" spans="1:16">
      <c r="A83" s="172"/>
      <c r="B83" s="347"/>
      <c r="C83" s="348"/>
      <c r="D83" s="348"/>
      <c r="E83" s="348"/>
      <c r="F83" s="348"/>
      <c r="G83" s="348"/>
      <c r="H83" s="348"/>
      <c r="I83" s="348"/>
      <c r="J83" s="348"/>
      <c r="K83" s="348"/>
      <c r="L83" s="348"/>
      <c r="M83" s="349"/>
      <c r="N83" s="173"/>
      <c r="O83" s="173"/>
      <c r="P83" s="174"/>
    </row>
    <row r="84" spans="1:16">
      <c r="A84" s="172"/>
      <c r="B84" s="347"/>
      <c r="C84" s="348"/>
      <c r="D84" s="348"/>
      <c r="E84" s="348"/>
      <c r="F84" s="348"/>
      <c r="G84" s="348"/>
      <c r="H84" s="348"/>
      <c r="I84" s="348"/>
      <c r="J84" s="348"/>
      <c r="K84" s="348"/>
      <c r="L84" s="348"/>
      <c r="M84" s="349"/>
      <c r="N84" s="173"/>
      <c r="O84" s="173"/>
      <c r="P84" s="174"/>
    </row>
    <row r="85" spans="1:16">
      <c r="A85" s="172"/>
      <c r="B85" s="347"/>
      <c r="C85" s="348"/>
      <c r="D85" s="348"/>
      <c r="E85" s="348"/>
      <c r="F85" s="348"/>
      <c r="G85" s="348"/>
      <c r="H85" s="348"/>
      <c r="I85" s="348"/>
      <c r="J85" s="348"/>
      <c r="K85" s="348"/>
      <c r="L85" s="348"/>
      <c r="M85" s="349"/>
      <c r="N85" s="173"/>
      <c r="O85" s="173"/>
      <c r="P85" s="174"/>
    </row>
    <row r="86" spans="1:16">
      <c r="A86" s="172"/>
      <c r="B86" s="347"/>
      <c r="C86" s="348"/>
      <c r="D86" s="348"/>
      <c r="E86" s="348"/>
      <c r="F86" s="348"/>
      <c r="G86" s="348"/>
      <c r="H86" s="348"/>
      <c r="I86" s="348"/>
      <c r="J86" s="348"/>
      <c r="K86" s="348"/>
      <c r="L86" s="348"/>
      <c r="M86" s="349"/>
      <c r="N86" s="173"/>
      <c r="O86" s="173"/>
      <c r="P86" s="174"/>
    </row>
    <row r="87" spans="1:16">
      <c r="A87" s="172"/>
      <c r="B87" s="347"/>
      <c r="C87" s="348"/>
      <c r="D87" s="348"/>
      <c r="E87" s="348"/>
      <c r="F87" s="348"/>
      <c r="G87" s="348"/>
      <c r="H87" s="348"/>
      <c r="I87" s="348"/>
      <c r="J87" s="348"/>
      <c r="K87" s="348"/>
      <c r="L87" s="348"/>
      <c r="M87" s="349"/>
      <c r="N87" s="173"/>
      <c r="O87" s="173"/>
      <c r="P87" s="174"/>
    </row>
    <row r="88" spans="1:16">
      <c r="A88" s="172"/>
      <c r="B88" s="347"/>
      <c r="C88" s="348"/>
      <c r="D88" s="348"/>
      <c r="E88" s="348"/>
      <c r="F88" s="348"/>
      <c r="G88" s="348"/>
      <c r="H88" s="348"/>
      <c r="I88" s="348"/>
      <c r="J88" s="348"/>
      <c r="K88" s="348"/>
      <c r="L88" s="348"/>
      <c r="M88" s="349"/>
      <c r="N88" s="173"/>
      <c r="O88" s="173"/>
      <c r="P88" s="174"/>
    </row>
    <row r="89" spans="1:16">
      <c r="A89" s="172"/>
      <c r="B89" s="347"/>
      <c r="C89" s="348"/>
      <c r="D89" s="348"/>
      <c r="E89" s="348"/>
      <c r="F89" s="348"/>
      <c r="G89" s="348"/>
      <c r="H89" s="348"/>
      <c r="I89" s="348"/>
      <c r="J89" s="348"/>
      <c r="K89" s="348"/>
      <c r="L89" s="348"/>
      <c r="M89" s="349"/>
      <c r="N89" s="173"/>
      <c r="O89" s="173"/>
      <c r="P89" s="174"/>
    </row>
    <row r="90" spans="1:16">
      <c r="A90" s="172"/>
      <c r="B90" s="347"/>
      <c r="C90" s="348"/>
      <c r="D90" s="348"/>
      <c r="E90" s="348"/>
      <c r="F90" s="348"/>
      <c r="G90" s="348"/>
      <c r="H90" s="348"/>
      <c r="I90" s="348"/>
      <c r="J90" s="348"/>
      <c r="K90" s="348"/>
      <c r="L90" s="348"/>
      <c r="M90" s="349"/>
      <c r="N90" s="173"/>
      <c r="O90" s="173"/>
      <c r="P90" s="174"/>
    </row>
    <row r="91" spans="1:16">
      <c r="A91" s="172"/>
      <c r="B91" s="347"/>
      <c r="C91" s="348"/>
      <c r="D91" s="348"/>
      <c r="E91" s="348"/>
      <c r="F91" s="348"/>
      <c r="G91" s="348"/>
      <c r="H91" s="348"/>
      <c r="I91" s="348"/>
      <c r="J91" s="348"/>
      <c r="K91" s="348"/>
      <c r="L91" s="348"/>
      <c r="M91" s="349"/>
      <c r="N91" s="173"/>
      <c r="O91" s="173"/>
      <c r="P91" s="174"/>
    </row>
    <row r="92" spans="1:16">
      <c r="A92" s="172"/>
      <c r="B92" s="347"/>
      <c r="C92" s="348"/>
      <c r="D92" s="348"/>
      <c r="E92" s="348"/>
      <c r="F92" s="348"/>
      <c r="G92" s="348"/>
      <c r="H92" s="348"/>
      <c r="I92" s="348"/>
      <c r="J92" s="348"/>
      <c r="K92" s="348"/>
      <c r="L92" s="348"/>
      <c r="M92" s="349"/>
      <c r="N92" s="173"/>
      <c r="O92" s="173"/>
      <c r="P92" s="174"/>
    </row>
    <row r="93" spans="1:16">
      <c r="A93" s="172"/>
      <c r="B93" s="347"/>
      <c r="C93" s="348"/>
      <c r="D93" s="348"/>
      <c r="E93" s="348"/>
      <c r="F93" s="348"/>
      <c r="G93" s="348"/>
      <c r="H93" s="348"/>
      <c r="I93" s="348"/>
      <c r="J93" s="348"/>
      <c r="K93" s="348"/>
      <c r="L93" s="348"/>
      <c r="M93" s="349"/>
      <c r="N93" s="173"/>
      <c r="O93" s="173"/>
      <c r="P93" s="174"/>
    </row>
    <row r="94" spans="1:16">
      <c r="A94" s="172"/>
      <c r="B94" s="347"/>
      <c r="C94" s="348"/>
      <c r="D94" s="348"/>
      <c r="E94" s="348"/>
      <c r="F94" s="348"/>
      <c r="G94" s="348"/>
      <c r="H94" s="348"/>
      <c r="I94" s="348"/>
      <c r="J94" s="348"/>
      <c r="K94" s="348"/>
      <c r="L94" s="348"/>
      <c r="M94" s="349"/>
      <c r="N94" s="173"/>
      <c r="O94" s="173"/>
      <c r="P94" s="174"/>
    </row>
    <row r="95" spans="1:16">
      <c r="A95" s="172"/>
      <c r="B95" s="347"/>
      <c r="C95" s="348"/>
      <c r="D95" s="348"/>
      <c r="E95" s="348"/>
      <c r="F95" s="348"/>
      <c r="G95" s="348"/>
      <c r="H95" s="348"/>
      <c r="I95" s="348"/>
      <c r="J95" s="348"/>
      <c r="K95" s="348"/>
      <c r="L95" s="348"/>
      <c r="M95" s="349"/>
      <c r="N95" s="173"/>
      <c r="O95" s="173"/>
      <c r="P95" s="174"/>
    </row>
    <row r="96" spans="1:16">
      <c r="A96" s="172"/>
      <c r="B96" s="347"/>
      <c r="C96" s="348"/>
      <c r="D96" s="348"/>
      <c r="E96" s="348"/>
      <c r="F96" s="348"/>
      <c r="G96" s="348"/>
      <c r="H96" s="348"/>
      <c r="I96" s="348"/>
      <c r="J96" s="348"/>
      <c r="K96" s="348"/>
      <c r="L96" s="348"/>
      <c r="M96" s="349"/>
      <c r="N96" s="173"/>
      <c r="O96" s="173"/>
      <c r="P96" s="174"/>
    </row>
    <row r="97" spans="1:16">
      <c r="A97" s="172"/>
      <c r="B97" s="347"/>
      <c r="C97" s="348"/>
      <c r="D97" s="348"/>
      <c r="E97" s="348"/>
      <c r="F97" s="348"/>
      <c r="G97" s="348"/>
      <c r="H97" s="348"/>
      <c r="I97" s="348"/>
      <c r="J97" s="348"/>
      <c r="K97" s="348"/>
      <c r="L97" s="348"/>
      <c r="M97" s="349"/>
      <c r="N97" s="173"/>
      <c r="O97" s="173"/>
      <c r="P97" s="174"/>
    </row>
    <row r="98" spans="1:16">
      <c r="A98" s="172"/>
      <c r="B98" s="347"/>
      <c r="C98" s="348"/>
      <c r="D98" s="348"/>
      <c r="E98" s="348"/>
      <c r="F98" s="348"/>
      <c r="G98" s="348"/>
      <c r="H98" s="348"/>
      <c r="I98" s="348"/>
      <c r="J98" s="348"/>
      <c r="K98" s="348"/>
      <c r="L98" s="348"/>
      <c r="M98" s="349"/>
      <c r="N98" s="173"/>
      <c r="O98" s="173"/>
      <c r="P98" s="174"/>
    </row>
    <row r="99" spans="1:16">
      <c r="A99" s="172"/>
      <c r="B99" s="347"/>
      <c r="C99" s="348"/>
      <c r="D99" s="348"/>
      <c r="E99" s="348"/>
      <c r="F99" s="348"/>
      <c r="G99" s="348"/>
      <c r="H99" s="348"/>
      <c r="I99" s="348"/>
      <c r="J99" s="348"/>
      <c r="K99" s="348"/>
      <c r="L99" s="348"/>
      <c r="M99" s="349"/>
      <c r="N99" s="173"/>
      <c r="O99" s="173"/>
      <c r="P99" s="174"/>
    </row>
    <row r="100" spans="1:16">
      <c r="A100" s="172"/>
      <c r="B100" s="347"/>
      <c r="C100" s="348"/>
      <c r="D100" s="348"/>
      <c r="E100" s="348"/>
      <c r="F100" s="348"/>
      <c r="G100" s="348"/>
      <c r="H100" s="348"/>
      <c r="I100" s="348"/>
      <c r="J100" s="348"/>
      <c r="K100" s="348"/>
      <c r="L100" s="348"/>
      <c r="M100" s="349"/>
      <c r="N100" s="173"/>
      <c r="O100" s="173"/>
      <c r="P100" s="174"/>
    </row>
    <row r="101" spans="1:16">
      <c r="A101" s="172"/>
      <c r="B101" s="347"/>
      <c r="C101" s="348"/>
      <c r="D101" s="348"/>
      <c r="E101" s="348"/>
      <c r="F101" s="348"/>
      <c r="G101" s="348"/>
      <c r="H101" s="348"/>
      <c r="I101" s="348"/>
      <c r="J101" s="348"/>
      <c r="K101" s="348"/>
      <c r="L101" s="348"/>
      <c r="M101" s="349"/>
      <c r="N101" s="173"/>
      <c r="O101" s="173"/>
      <c r="P101" s="174"/>
    </row>
    <row r="102" spans="1:16">
      <c r="A102" s="172"/>
      <c r="B102" s="347"/>
      <c r="C102" s="348"/>
      <c r="D102" s="348"/>
      <c r="E102" s="348"/>
      <c r="F102" s="348"/>
      <c r="G102" s="348"/>
      <c r="H102" s="348"/>
      <c r="I102" s="348"/>
      <c r="J102" s="348"/>
      <c r="K102" s="348"/>
      <c r="L102" s="348"/>
      <c r="M102" s="349"/>
      <c r="N102" s="173"/>
      <c r="O102" s="173"/>
      <c r="P102" s="174"/>
    </row>
    <row r="103" spans="1:16">
      <c r="A103" s="172"/>
      <c r="B103" s="347"/>
      <c r="C103" s="348"/>
      <c r="D103" s="348"/>
      <c r="E103" s="348"/>
      <c r="F103" s="348"/>
      <c r="G103" s="348"/>
      <c r="H103" s="348"/>
      <c r="I103" s="348"/>
      <c r="J103" s="348"/>
      <c r="K103" s="348"/>
      <c r="L103" s="348"/>
      <c r="M103" s="349"/>
      <c r="N103" s="173"/>
      <c r="O103" s="173"/>
      <c r="P103" s="174"/>
    </row>
    <row r="104" spans="1:16">
      <c r="A104" s="172"/>
      <c r="B104" s="347"/>
      <c r="C104" s="348"/>
      <c r="D104" s="348"/>
      <c r="E104" s="348"/>
      <c r="F104" s="348"/>
      <c r="G104" s="348"/>
      <c r="H104" s="348"/>
      <c r="I104" s="348"/>
      <c r="J104" s="348"/>
      <c r="K104" s="348"/>
      <c r="L104" s="348"/>
      <c r="M104" s="349"/>
      <c r="N104" s="173"/>
      <c r="O104" s="173"/>
      <c r="P104" s="174"/>
    </row>
    <row r="105" spans="1:16">
      <c r="A105" s="172"/>
      <c r="B105" s="347"/>
      <c r="C105" s="348"/>
      <c r="D105" s="348"/>
      <c r="E105" s="348"/>
      <c r="F105" s="348"/>
      <c r="G105" s="348"/>
      <c r="H105" s="348"/>
      <c r="I105" s="348"/>
      <c r="J105" s="348"/>
      <c r="K105" s="348"/>
      <c r="L105" s="348"/>
      <c r="M105" s="349"/>
      <c r="N105" s="173"/>
      <c r="O105" s="173"/>
      <c r="P105" s="174"/>
    </row>
    <row r="106" spans="1:16">
      <c r="A106" s="172"/>
      <c r="B106" s="347"/>
      <c r="C106" s="348"/>
      <c r="D106" s="348"/>
      <c r="E106" s="348"/>
      <c r="F106" s="348"/>
      <c r="G106" s="348"/>
      <c r="H106" s="348"/>
      <c r="I106" s="348"/>
      <c r="J106" s="348"/>
      <c r="K106" s="348"/>
      <c r="L106" s="348"/>
      <c r="M106" s="349"/>
      <c r="N106" s="173"/>
      <c r="O106" s="173"/>
      <c r="P106" s="174"/>
    </row>
    <row r="107" spans="1:16">
      <c r="A107" s="172"/>
      <c r="B107" s="347"/>
      <c r="C107" s="348"/>
      <c r="D107" s="348"/>
      <c r="E107" s="348"/>
      <c r="F107" s="348"/>
      <c r="G107" s="348"/>
      <c r="H107" s="348"/>
      <c r="I107" s="348"/>
      <c r="J107" s="348"/>
      <c r="K107" s="348"/>
      <c r="L107" s="348"/>
      <c r="M107" s="349"/>
      <c r="N107" s="173"/>
      <c r="O107" s="173"/>
      <c r="P107" s="174"/>
    </row>
    <row r="108" spans="1:16">
      <c r="A108" s="172"/>
      <c r="B108" s="347"/>
      <c r="C108" s="348"/>
      <c r="D108" s="348"/>
      <c r="E108" s="348"/>
      <c r="F108" s="348"/>
      <c r="G108" s="348"/>
      <c r="H108" s="348"/>
      <c r="I108" s="348"/>
      <c r="J108" s="348"/>
      <c r="K108" s="348"/>
      <c r="L108" s="348"/>
      <c r="M108" s="349"/>
      <c r="N108" s="173"/>
      <c r="O108" s="173"/>
      <c r="P108" s="174"/>
    </row>
    <row r="109" spans="1:16">
      <c r="A109" s="172"/>
      <c r="B109" s="347"/>
      <c r="C109" s="348"/>
      <c r="D109" s="348"/>
      <c r="E109" s="348"/>
      <c r="F109" s="348"/>
      <c r="G109" s="348"/>
      <c r="H109" s="348"/>
      <c r="I109" s="348"/>
      <c r="J109" s="348"/>
      <c r="K109" s="348"/>
      <c r="L109" s="348"/>
      <c r="M109" s="349"/>
      <c r="N109" s="173"/>
      <c r="O109" s="173"/>
      <c r="P109" s="174"/>
    </row>
    <row r="110" spans="1:16">
      <c r="A110" s="172"/>
      <c r="B110" s="347"/>
      <c r="C110" s="348"/>
      <c r="D110" s="348"/>
      <c r="E110" s="348"/>
      <c r="F110" s="348"/>
      <c r="G110" s="348"/>
      <c r="H110" s="348"/>
      <c r="I110" s="348"/>
      <c r="J110" s="348"/>
      <c r="K110" s="348"/>
      <c r="L110" s="348"/>
      <c r="M110" s="349"/>
      <c r="N110" s="173"/>
      <c r="O110" s="173"/>
      <c r="P110" s="174"/>
    </row>
    <row r="111" spans="1:16">
      <c r="A111" s="172"/>
      <c r="B111" s="347"/>
      <c r="C111" s="348"/>
      <c r="D111" s="348"/>
      <c r="E111" s="348"/>
      <c r="F111" s="348"/>
      <c r="G111" s="348"/>
      <c r="H111" s="348"/>
      <c r="I111" s="348"/>
      <c r="J111" s="348"/>
      <c r="K111" s="348"/>
      <c r="L111" s="348"/>
      <c r="M111" s="349"/>
      <c r="N111" s="173"/>
      <c r="O111" s="173"/>
      <c r="P111" s="174"/>
    </row>
    <row r="112" spans="1:16">
      <c r="A112" s="172"/>
      <c r="B112" s="347"/>
      <c r="C112" s="348"/>
      <c r="D112" s="348"/>
      <c r="E112" s="348"/>
      <c r="F112" s="348"/>
      <c r="G112" s="348"/>
      <c r="H112" s="348"/>
      <c r="I112" s="348"/>
      <c r="J112" s="348"/>
      <c r="K112" s="348"/>
      <c r="L112" s="348"/>
      <c r="M112" s="349"/>
      <c r="N112" s="173"/>
      <c r="O112" s="173"/>
      <c r="P112" s="174"/>
    </row>
    <row r="113" spans="1:16">
      <c r="A113" s="172"/>
      <c r="B113" s="347"/>
      <c r="C113" s="348"/>
      <c r="D113" s="348"/>
      <c r="E113" s="348"/>
      <c r="F113" s="348"/>
      <c r="G113" s="348"/>
      <c r="H113" s="348"/>
      <c r="I113" s="348"/>
      <c r="J113" s="348"/>
      <c r="K113" s="348"/>
      <c r="L113" s="348"/>
      <c r="M113" s="349"/>
      <c r="N113" s="173"/>
      <c r="O113" s="173"/>
      <c r="P113" s="174"/>
    </row>
    <row r="114" spans="1:16">
      <c r="A114" s="172"/>
      <c r="B114" s="347"/>
      <c r="C114" s="348"/>
      <c r="D114" s="348"/>
      <c r="E114" s="348"/>
      <c r="F114" s="348"/>
      <c r="G114" s="348"/>
      <c r="H114" s="348"/>
      <c r="I114" s="348"/>
      <c r="J114" s="348"/>
      <c r="K114" s="348"/>
      <c r="L114" s="348"/>
      <c r="M114" s="349"/>
      <c r="N114" s="173"/>
      <c r="O114" s="173"/>
      <c r="P114" s="174"/>
    </row>
    <row r="115" spans="1:16">
      <c r="A115" s="172"/>
      <c r="B115" s="347"/>
      <c r="C115" s="348"/>
      <c r="D115" s="348"/>
      <c r="E115" s="348"/>
      <c r="F115" s="348"/>
      <c r="G115" s="348"/>
      <c r="H115" s="348"/>
      <c r="I115" s="348"/>
      <c r="J115" s="348"/>
      <c r="K115" s="348"/>
      <c r="L115" s="348"/>
      <c r="M115" s="349"/>
      <c r="N115" s="173"/>
      <c r="O115" s="173"/>
      <c r="P115" s="174"/>
    </row>
    <row r="116" spans="1:16">
      <c r="A116" s="172"/>
      <c r="B116" s="347"/>
      <c r="C116" s="348"/>
      <c r="D116" s="348"/>
      <c r="E116" s="348"/>
      <c r="F116" s="348"/>
      <c r="G116" s="348"/>
      <c r="H116" s="348"/>
      <c r="I116" s="348"/>
      <c r="J116" s="348"/>
      <c r="K116" s="348"/>
      <c r="L116" s="348"/>
      <c r="M116" s="349"/>
      <c r="N116" s="173"/>
      <c r="O116" s="173"/>
      <c r="P116" s="174"/>
    </row>
    <row r="117" spans="1:16">
      <c r="A117" s="172"/>
      <c r="B117" s="347"/>
      <c r="C117" s="348"/>
      <c r="D117" s="348"/>
      <c r="E117" s="348"/>
      <c r="F117" s="348"/>
      <c r="G117" s="348"/>
      <c r="H117" s="348"/>
      <c r="I117" s="348"/>
      <c r="J117" s="348"/>
      <c r="K117" s="348"/>
      <c r="L117" s="348"/>
      <c r="M117" s="349"/>
      <c r="N117" s="173"/>
      <c r="O117" s="173"/>
      <c r="P117" s="174"/>
    </row>
    <row r="118" spans="1:16">
      <c r="A118" s="172"/>
      <c r="B118" s="347"/>
      <c r="C118" s="348"/>
      <c r="D118" s="348"/>
      <c r="E118" s="348"/>
      <c r="F118" s="348"/>
      <c r="G118" s="348"/>
      <c r="H118" s="348"/>
      <c r="I118" s="348"/>
      <c r="J118" s="348"/>
      <c r="K118" s="348"/>
      <c r="L118" s="348"/>
      <c r="M118" s="349"/>
      <c r="N118" s="173"/>
      <c r="O118" s="173"/>
      <c r="P118" s="174"/>
    </row>
    <row r="119" spans="1:16" ht="14" thickBot="1">
      <c r="A119" s="172"/>
      <c r="B119" s="350"/>
      <c r="C119" s="351"/>
      <c r="D119" s="351"/>
      <c r="E119" s="351"/>
      <c r="F119" s="351"/>
      <c r="G119" s="351"/>
      <c r="H119" s="351"/>
      <c r="I119" s="351"/>
      <c r="J119" s="351"/>
      <c r="K119" s="351"/>
      <c r="L119" s="351"/>
      <c r="M119" s="352"/>
      <c r="N119" s="173"/>
      <c r="O119" s="173"/>
      <c r="P119" s="174"/>
    </row>
    <row r="120" spans="1:16">
      <c r="A120" s="172"/>
      <c r="B120" s="173"/>
      <c r="C120" s="173"/>
      <c r="D120" s="173"/>
      <c r="E120" s="173"/>
      <c r="F120" s="173"/>
      <c r="G120" s="173"/>
      <c r="H120" s="173"/>
      <c r="I120" s="173"/>
      <c r="J120" s="173"/>
      <c r="K120" s="173"/>
      <c r="L120" s="173"/>
      <c r="M120" s="173"/>
      <c r="N120" s="173"/>
      <c r="O120" s="173"/>
      <c r="P120" s="174"/>
    </row>
    <row r="121" spans="1:16" ht="14" thickBot="1">
      <c r="A121" s="181"/>
      <c r="B121" s="182"/>
      <c r="C121" s="182"/>
      <c r="D121" s="182"/>
      <c r="E121" s="182"/>
      <c r="F121" s="182"/>
      <c r="G121" s="182"/>
      <c r="H121" s="182"/>
      <c r="I121" s="182"/>
      <c r="J121" s="182"/>
      <c r="K121" s="182"/>
      <c r="L121" s="182"/>
      <c r="M121" s="182"/>
      <c r="N121" s="182"/>
      <c r="O121" s="182"/>
      <c r="P121" s="183"/>
    </row>
    <row r="122" spans="1:16" ht="14" thickTop="1"/>
  </sheetData>
  <mergeCells count="2">
    <mergeCell ref="B57:M119"/>
    <mergeCell ref="F13:K13"/>
  </mergeCells>
  <hyperlinks>
    <hyperlink ref="I12" r:id="rId1" xr:uid="{00000000-0004-0000-0000-000001000000}"/>
    <hyperlink ref="F13:K13" r:id="rId2" display="LM5069 Datasheet (See &quot;Design-In Procedure&quot;)" xr:uid="{A7832363-BB8D-4E7C-8772-14C6EDC8C3DD}"/>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B050"/>
  </sheetPr>
  <dimension ref="A1:BH219"/>
  <sheetViews>
    <sheetView tabSelected="1" topLeftCell="C89" zoomScale="174" zoomScaleNormal="70" zoomScaleSheetLayoutView="100" workbookViewId="0">
      <selection activeCell="F109" sqref="F109"/>
    </sheetView>
  </sheetViews>
  <sheetFormatPr baseColWidth="10" defaultColWidth="8.83203125" defaultRowHeight="13"/>
  <cols>
    <col min="1" max="1" width="0.5" customWidth="1"/>
    <col min="2" max="2" width="30" customWidth="1"/>
    <col min="3" max="3" width="15.1640625" customWidth="1"/>
    <col min="4" max="4" width="19.1640625" customWidth="1"/>
    <col min="5" max="5" width="19.33203125" customWidth="1"/>
    <col min="6" max="6" width="30" customWidth="1"/>
    <col min="7" max="7" width="30" style="1" bestFit="1" customWidth="1"/>
    <col min="8" max="8" width="28.6640625" customWidth="1"/>
    <col min="9" max="9" width="12.83203125" customWidth="1"/>
    <col min="10" max="10" width="9.6640625" bestFit="1" customWidth="1"/>
    <col min="11" max="11" width="10.33203125" customWidth="1"/>
    <col min="12" max="12" width="8.83203125" customWidth="1"/>
    <col min="13" max="13" width="9.83203125" customWidth="1"/>
    <col min="14" max="19" width="0" hidden="1" customWidth="1"/>
    <col min="20" max="20" width="2.6640625" hidden="1" customWidth="1"/>
    <col min="21" max="21" width="3" hidden="1" customWidth="1"/>
    <col min="22" max="22" width="1.1640625" hidden="1" customWidth="1"/>
    <col min="23" max="23" width="3.6640625" hidden="1" customWidth="1"/>
    <col min="24" max="38" width="0" hidden="1" customWidth="1"/>
    <col min="39" max="39" width="11.6640625" customWidth="1"/>
    <col min="40" max="40" width="6.6640625" customWidth="1"/>
    <col min="41" max="41" width="9.33203125" customWidth="1"/>
    <col min="42" max="42" width="12.33203125" hidden="1" customWidth="1"/>
    <col min="43" max="43" width="12" hidden="1" customWidth="1"/>
    <col min="44" max="44" width="13.5" hidden="1" customWidth="1"/>
    <col min="45" max="45" width="14.5" hidden="1" customWidth="1"/>
    <col min="46" max="46" width="14.6640625" hidden="1" customWidth="1"/>
    <col min="47" max="47" width="11.33203125" hidden="1" customWidth="1"/>
    <col min="48" max="48" width="31.6640625" hidden="1" customWidth="1"/>
    <col min="49" max="49" width="32.5" hidden="1" customWidth="1"/>
    <col min="50" max="50" width="8.5" hidden="1" customWidth="1"/>
    <col min="51" max="51" width="22.33203125" hidden="1" customWidth="1"/>
    <col min="52" max="52" width="15.6640625" hidden="1" customWidth="1"/>
    <col min="53" max="53" width="12.5" hidden="1" customWidth="1"/>
    <col min="54" max="54" width="9.83203125" hidden="1" customWidth="1"/>
    <col min="55" max="55" width="12.6640625" hidden="1" customWidth="1"/>
    <col min="56" max="56" width="31.6640625" hidden="1" customWidth="1"/>
    <col min="57" max="57" width="32.5" hidden="1" customWidth="1"/>
    <col min="58" max="58" width="8.5" hidden="1" customWidth="1"/>
    <col min="59" max="59" width="22.33203125" hidden="1" customWidth="1"/>
    <col min="60" max="60" width="15.6640625" hidden="1" customWidth="1"/>
    <col min="61" max="61" width="15.33203125" customWidth="1"/>
    <col min="62" max="62" width="15.6640625" customWidth="1"/>
    <col min="63" max="63" width="12.5" customWidth="1"/>
    <col min="64" max="64" width="16.83203125" customWidth="1"/>
    <col min="65" max="65" width="15.5" customWidth="1"/>
    <col min="66" max="66" width="14.5" customWidth="1"/>
    <col min="67" max="67" width="10" customWidth="1"/>
    <col min="68" max="68" width="6.1640625" customWidth="1"/>
    <col min="69" max="69" width="7.1640625" customWidth="1"/>
    <col min="70" max="70" width="8.33203125" customWidth="1"/>
    <col min="71" max="71" width="4.6640625" customWidth="1"/>
  </cols>
  <sheetData>
    <row r="1" spans="1:46" s="100" customFormat="1" ht="60.75" customHeight="1">
      <c r="A1" s="340" t="s">
        <v>664</v>
      </c>
      <c r="B1" s="341"/>
      <c r="C1" s="341"/>
      <c r="D1" s="341"/>
      <c r="E1" s="341"/>
      <c r="F1" s="341"/>
      <c r="G1" s="341"/>
      <c r="H1" s="341"/>
      <c r="I1" s="341"/>
      <c r="J1" s="341"/>
      <c r="K1" s="341"/>
      <c r="L1" s="341"/>
      <c r="M1" s="341"/>
      <c r="N1" s="33"/>
      <c r="O1" s="33"/>
      <c r="P1" s="33"/>
      <c r="Q1" s="33"/>
      <c r="R1" s="32"/>
      <c r="S1" s="32"/>
      <c r="T1" s="31"/>
      <c r="U1" s="31"/>
      <c r="V1" s="31"/>
      <c r="W1" s="31"/>
      <c r="X1" s="31"/>
      <c r="Y1" s="31"/>
      <c r="Z1" s="31"/>
      <c r="AA1" s="31"/>
      <c r="AB1" s="31"/>
      <c r="AC1" s="31"/>
      <c r="AD1" s="31"/>
      <c r="AE1" s="31"/>
      <c r="AF1" s="31"/>
      <c r="AG1" s="31"/>
      <c r="AH1" s="31"/>
      <c r="AI1" s="31"/>
      <c r="AJ1" s="31"/>
      <c r="AK1" s="31"/>
      <c r="AL1" s="31"/>
      <c r="AM1" s="263"/>
      <c r="AN1" s="263"/>
      <c r="AO1" s="263"/>
    </row>
    <row r="2" spans="1:46" ht="15" customHeight="1">
      <c r="A2" s="17"/>
      <c r="B2" s="30" t="s">
        <v>104</v>
      </c>
      <c r="C2" s="17"/>
      <c r="D2" s="17"/>
      <c r="E2" s="17"/>
      <c r="F2" s="18"/>
      <c r="G2" s="18"/>
      <c r="H2" s="17"/>
      <c r="I2" s="17"/>
      <c r="J2" s="17"/>
      <c r="K2" s="17"/>
      <c r="L2" s="339"/>
      <c r="M2" s="339"/>
      <c r="N2" s="17"/>
      <c r="O2" s="17"/>
      <c r="P2" s="17"/>
      <c r="Q2" s="17"/>
      <c r="R2" s="17"/>
      <c r="S2" s="17"/>
      <c r="T2" s="17"/>
      <c r="U2" s="17"/>
      <c r="V2" s="17"/>
      <c r="W2" s="17"/>
      <c r="X2" s="17"/>
      <c r="Y2" s="17"/>
      <c r="Z2" s="17"/>
      <c r="AA2" s="17"/>
      <c r="AB2" s="17"/>
      <c r="AC2" s="17"/>
      <c r="AD2" s="17"/>
      <c r="AE2" s="17"/>
      <c r="AF2" s="17"/>
      <c r="AG2" s="17"/>
      <c r="AH2" s="17"/>
      <c r="AI2" s="17"/>
      <c r="AJ2" s="17"/>
      <c r="AK2" s="17"/>
      <c r="AL2" s="17"/>
      <c r="AM2" s="17"/>
      <c r="AN2" s="28"/>
      <c r="AO2" s="28"/>
    </row>
    <row r="3" spans="1:46" ht="15" customHeight="1">
      <c r="A3" s="17"/>
      <c r="B3" s="17"/>
      <c r="C3" s="17"/>
      <c r="D3" s="17"/>
      <c r="E3" s="17"/>
      <c r="F3" s="17"/>
      <c r="G3" s="18"/>
      <c r="H3" s="17"/>
      <c r="I3" s="17"/>
      <c r="J3" s="17"/>
      <c r="K3" s="17"/>
      <c r="L3" s="17"/>
      <c r="M3" s="17"/>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28"/>
      <c r="AO3" s="28"/>
    </row>
    <row r="4" spans="1:46" ht="15" customHeight="1">
      <c r="A4" s="17"/>
      <c r="B4" s="17"/>
      <c r="C4" s="17"/>
      <c r="D4" s="17"/>
      <c r="E4" s="17"/>
      <c r="F4" s="17"/>
      <c r="G4" s="18"/>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28"/>
      <c r="AO4" s="28"/>
    </row>
    <row r="5" spans="1:46" ht="15" customHeight="1">
      <c r="A5" s="17"/>
      <c r="B5" s="17"/>
      <c r="C5" s="17"/>
      <c r="D5" s="17"/>
      <c r="E5" s="17"/>
      <c r="F5" s="17"/>
      <c r="G5" s="18"/>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28"/>
      <c r="AO5" s="28"/>
    </row>
    <row r="6" spans="1:46" ht="15" customHeight="1">
      <c r="A6" s="17"/>
      <c r="B6" s="17"/>
      <c r="C6" s="17"/>
      <c r="D6" s="17"/>
      <c r="E6" s="17"/>
      <c r="F6" s="17"/>
      <c r="G6" s="18"/>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28"/>
      <c r="AO6" s="28"/>
    </row>
    <row r="7" spans="1:46" ht="15" customHeight="1">
      <c r="A7" s="17"/>
      <c r="B7" s="17"/>
      <c r="C7" s="17"/>
      <c r="D7" s="17"/>
      <c r="E7" s="17"/>
      <c r="F7" s="17"/>
      <c r="G7" s="18"/>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28"/>
      <c r="AO7" s="28"/>
    </row>
    <row r="8" spans="1:46" ht="15" customHeight="1" thickBot="1">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28"/>
      <c r="AO8" s="28"/>
    </row>
    <row r="9" spans="1:46" ht="15" customHeight="1">
      <c r="A9" s="17"/>
      <c r="B9" s="310"/>
      <c r="C9" s="308"/>
      <c r="D9" s="308"/>
      <c r="E9" s="308"/>
      <c r="F9" s="308"/>
      <c r="G9" s="309"/>
      <c r="H9" s="72"/>
      <c r="I9" s="72"/>
      <c r="J9" s="72"/>
      <c r="K9" s="72"/>
      <c r="L9" s="308"/>
      <c r="M9" s="308"/>
      <c r="N9" s="72"/>
      <c r="O9" s="72"/>
      <c r="P9" s="72"/>
      <c r="Q9" s="72"/>
      <c r="R9" s="72"/>
      <c r="S9" s="72"/>
      <c r="T9" s="72"/>
      <c r="U9" s="72"/>
      <c r="V9" s="72"/>
      <c r="W9" s="72"/>
      <c r="X9" s="72"/>
      <c r="Y9" s="72"/>
      <c r="Z9" s="72"/>
      <c r="AA9" s="72"/>
      <c r="AB9" s="72"/>
      <c r="AC9" s="72"/>
      <c r="AD9" s="72"/>
      <c r="AE9" s="72"/>
      <c r="AF9" s="72"/>
      <c r="AG9" s="72"/>
      <c r="AH9" s="72"/>
      <c r="AI9" s="72"/>
      <c r="AJ9" s="72"/>
      <c r="AK9" s="72"/>
      <c r="AL9" s="72"/>
      <c r="AM9" s="72"/>
      <c r="AN9" s="308"/>
      <c r="AO9" s="308"/>
    </row>
    <row r="10" spans="1:46" ht="15" customHeight="1">
      <c r="A10" s="17"/>
      <c r="B10" s="311"/>
      <c r="C10" s="159"/>
      <c r="D10" s="322" t="s">
        <v>354</v>
      </c>
      <c r="E10" s="323"/>
      <c r="F10" s="323"/>
      <c r="G10" s="18"/>
      <c r="H10" s="17"/>
      <c r="I10" s="17"/>
      <c r="J10" s="17"/>
      <c r="K10" s="17"/>
      <c r="L10" s="28"/>
      <c r="M10" s="28"/>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28"/>
      <c r="AO10" s="28"/>
    </row>
    <row r="11" spans="1:46" ht="15" customHeight="1">
      <c r="A11" s="17"/>
      <c r="B11" s="75"/>
      <c r="C11" s="19"/>
      <c r="D11" s="324" t="s">
        <v>103</v>
      </c>
      <c r="E11" s="325"/>
      <c r="F11" s="325"/>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28"/>
      <c r="AO11" s="28"/>
    </row>
    <row r="12" spans="1:46" ht="15" customHeight="1">
      <c r="A12" s="17"/>
      <c r="B12" s="312"/>
      <c r="C12" s="165"/>
      <c r="D12" s="330" t="s">
        <v>430</v>
      </c>
      <c r="E12" s="331"/>
      <c r="F12" s="331"/>
      <c r="G12" s="28"/>
      <c r="H12" s="275"/>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row>
    <row r="13" spans="1:46" ht="15" customHeight="1">
      <c r="A13" s="17"/>
      <c r="B13" s="312"/>
      <c r="C13" s="164"/>
      <c r="D13" s="330"/>
      <c r="E13" s="331"/>
      <c r="F13" s="331"/>
      <c r="G13" s="28"/>
      <c r="H13" s="198"/>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T13" s="25" t="s">
        <v>186</v>
      </c>
    </row>
    <row r="14" spans="1:46" ht="15" customHeight="1">
      <c r="A14" s="17"/>
      <c r="B14" s="313"/>
      <c r="C14" s="194"/>
      <c r="D14" s="194"/>
      <c r="E14" s="190"/>
      <c r="F14" s="194"/>
      <c r="G14" s="194"/>
      <c r="H14" s="194"/>
      <c r="I14" s="194"/>
      <c r="J14" s="194"/>
      <c r="K14" s="194"/>
      <c r="L14" s="194"/>
      <c r="M14" s="194"/>
      <c r="N14" s="194"/>
      <c r="O14" s="194"/>
      <c r="P14" s="194"/>
      <c r="Q14" s="194"/>
      <c r="R14" s="194"/>
      <c r="S14" s="194"/>
      <c r="T14" s="194"/>
      <c r="U14" s="194"/>
      <c r="V14" s="194"/>
      <c r="W14" s="194"/>
      <c r="X14" s="194"/>
      <c r="Y14" s="194"/>
      <c r="Z14" s="194"/>
      <c r="AA14" s="194"/>
      <c r="AB14" s="194"/>
      <c r="AC14" s="194"/>
      <c r="AD14" s="194"/>
      <c r="AE14" s="194"/>
      <c r="AF14" s="194"/>
      <c r="AG14" s="194"/>
      <c r="AH14" s="194"/>
      <c r="AI14" s="194"/>
      <c r="AJ14" s="194"/>
      <c r="AK14" s="194"/>
      <c r="AL14" s="194"/>
      <c r="AM14" s="194"/>
      <c r="AN14" s="194"/>
      <c r="AO14" s="194"/>
    </row>
    <row r="15" spans="1:46" ht="15" customHeight="1">
      <c r="A15" s="17"/>
      <c r="B15" s="313"/>
      <c r="C15" s="194"/>
      <c r="D15" s="200" t="s">
        <v>450</v>
      </c>
      <c r="E15" s="28"/>
      <c r="F15" s="28"/>
      <c r="G15" s="28"/>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c r="AL15" s="194"/>
      <c r="AM15" s="194"/>
      <c r="AN15" s="194"/>
      <c r="AO15" s="194"/>
    </row>
    <row r="16" spans="1:46" ht="15" customHeight="1">
      <c r="A16" s="17"/>
      <c r="B16" s="313"/>
      <c r="C16" s="194"/>
      <c r="D16" s="342" t="s">
        <v>665</v>
      </c>
      <c r="E16" s="342"/>
      <c r="F16" s="342"/>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c r="AL16" s="194"/>
      <c r="AM16" s="194"/>
      <c r="AN16" s="194"/>
      <c r="AO16" s="194"/>
    </row>
    <row r="17" spans="1:42" ht="15" customHeight="1">
      <c r="A17" s="17"/>
      <c r="B17" s="313"/>
      <c r="C17" s="194"/>
      <c r="D17" s="342"/>
      <c r="E17" s="342"/>
      <c r="F17" s="342"/>
      <c r="G17" s="197"/>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194"/>
      <c r="AK17" s="194"/>
      <c r="AL17" s="194"/>
      <c r="AM17" s="194"/>
      <c r="AN17" s="194"/>
      <c r="AO17" s="194"/>
    </row>
    <row r="18" spans="1:42" ht="15" customHeight="1" thickBot="1">
      <c r="A18" s="17"/>
      <c r="B18" s="314"/>
      <c r="C18" s="195"/>
      <c r="D18" s="199"/>
      <c r="E18" s="199"/>
      <c r="F18" s="199"/>
      <c r="G18" s="196"/>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195"/>
      <c r="AK18" s="195"/>
      <c r="AL18" s="195"/>
      <c r="AM18" s="195"/>
      <c r="AN18" s="195"/>
      <c r="AO18" s="195"/>
    </row>
    <row r="19" spans="1:42" ht="15" customHeight="1">
      <c r="A19" s="17"/>
      <c r="B19" s="121" t="s">
        <v>667</v>
      </c>
      <c r="C19" s="72"/>
      <c r="D19" s="72"/>
      <c r="E19" s="73" t="s">
        <v>111</v>
      </c>
      <c r="F19" s="153">
        <v>15</v>
      </c>
      <c r="G19" s="139" t="s">
        <v>86</v>
      </c>
      <c r="H19" s="72"/>
      <c r="I19" s="72"/>
      <c r="J19" s="72"/>
      <c r="K19" s="72"/>
      <c r="L19" s="72"/>
      <c r="M19" s="72"/>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101"/>
    </row>
    <row r="20" spans="1:42" ht="15" customHeight="1">
      <c r="A20" s="17"/>
      <c r="B20" s="74"/>
      <c r="C20" s="17"/>
      <c r="D20" s="17"/>
      <c r="E20" s="55" t="s">
        <v>119</v>
      </c>
      <c r="F20" s="154">
        <v>18</v>
      </c>
      <c r="G20" s="140" t="s">
        <v>86</v>
      </c>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85"/>
    </row>
    <row r="21" spans="1:42" ht="15" customHeight="1">
      <c r="A21" s="17"/>
      <c r="B21" s="75"/>
      <c r="C21" s="17"/>
      <c r="D21" s="17"/>
      <c r="E21" s="55" t="s">
        <v>112</v>
      </c>
      <c r="F21" s="154">
        <v>22</v>
      </c>
      <c r="G21" s="140" t="s">
        <v>86</v>
      </c>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85"/>
    </row>
    <row r="22" spans="1:42" ht="15" customHeight="1">
      <c r="A22" s="17"/>
      <c r="B22" s="75"/>
      <c r="C22" s="17"/>
      <c r="D22" s="17"/>
      <c r="E22" s="55" t="s">
        <v>121</v>
      </c>
      <c r="F22" s="154">
        <v>20</v>
      </c>
      <c r="G22" s="140" t="s">
        <v>25</v>
      </c>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85"/>
    </row>
    <row r="23" spans="1:42" ht="15" customHeight="1">
      <c r="A23" s="17"/>
      <c r="B23" s="75"/>
      <c r="C23" s="17"/>
      <c r="D23" s="17"/>
      <c r="E23" s="55" t="s">
        <v>218</v>
      </c>
      <c r="F23" s="154">
        <v>3000</v>
      </c>
      <c r="G23" s="141" t="s">
        <v>83</v>
      </c>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85"/>
    </row>
    <row r="24" spans="1:42" ht="15" customHeight="1">
      <c r="A24" s="17"/>
      <c r="B24" s="75"/>
      <c r="C24" s="17"/>
      <c r="D24" s="17"/>
      <c r="E24" s="55" t="s">
        <v>120</v>
      </c>
      <c r="F24" s="201">
        <v>85</v>
      </c>
      <c r="G24" s="140" t="s">
        <v>123</v>
      </c>
      <c r="H24" s="332" t="s">
        <v>666</v>
      </c>
      <c r="I24" s="328"/>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85"/>
    </row>
    <row r="25" spans="1:42" ht="15" customHeight="1">
      <c r="A25" s="17"/>
      <c r="B25" s="204"/>
      <c r="C25" s="17"/>
      <c r="D25" s="17"/>
      <c r="E25" s="55" t="s">
        <v>452</v>
      </c>
      <c r="F25" s="206">
        <v>100</v>
      </c>
      <c r="G25" s="140" t="s">
        <v>123</v>
      </c>
      <c r="H25" s="332"/>
      <c r="I25" s="328"/>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85"/>
    </row>
    <row r="26" spans="1:42" ht="15" customHeight="1">
      <c r="A26" s="17"/>
      <c r="B26" s="204"/>
      <c r="C26" s="17"/>
      <c r="D26" s="17"/>
      <c r="E26" s="29" t="s">
        <v>247</v>
      </c>
      <c r="F26" s="156">
        <v>30</v>
      </c>
      <c r="G26" s="140" t="s">
        <v>124</v>
      </c>
      <c r="H26" s="332"/>
      <c r="I26" s="328"/>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85"/>
    </row>
    <row r="27" spans="1:42" ht="15" customHeight="1">
      <c r="A27" s="17"/>
      <c r="B27" s="205"/>
      <c r="C27" s="17"/>
      <c r="D27" s="17"/>
      <c r="E27" s="210" t="s">
        <v>180</v>
      </c>
      <c r="F27" s="156">
        <v>0</v>
      </c>
      <c r="G27" s="141" t="s">
        <v>86</v>
      </c>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85"/>
    </row>
    <row r="28" spans="1:42" ht="15" customHeight="1">
      <c r="A28" s="17"/>
      <c r="B28" s="205"/>
      <c r="C28" s="17"/>
      <c r="D28" s="17"/>
      <c r="E28" s="29" t="s">
        <v>129</v>
      </c>
      <c r="F28" s="156" t="s">
        <v>131</v>
      </c>
      <c r="G28" s="141"/>
      <c r="H28" s="332" t="s">
        <v>619</v>
      </c>
      <c r="I28" s="333"/>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85"/>
    </row>
    <row r="29" spans="1:42" ht="15" customHeight="1">
      <c r="A29" s="17"/>
      <c r="B29" s="205"/>
      <c r="C29" s="17"/>
      <c r="D29" s="17"/>
      <c r="E29" s="29" t="s">
        <v>130</v>
      </c>
      <c r="F29" s="156">
        <v>0.2</v>
      </c>
      <c r="G29" s="141" t="str">
        <f>IF(F28="Constant Current","A","Ohms")</f>
        <v>A</v>
      </c>
      <c r="H29" s="336"/>
      <c r="I29" s="333"/>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85"/>
    </row>
    <row r="30" spans="1:42" ht="15" customHeight="1">
      <c r="A30" s="17"/>
      <c r="B30" s="205"/>
      <c r="C30" s="17"/>
      <c r="D30" s="17"/>
      <c r="E30" s="55" t="s">
        <v>454</v>
      </c>
      <c r="F30" s="155" t="s">
        <v>651</v>
      </c>
      <c r="G30" s="141"/>
      <c r="H30" s="332" t="s">
        <v>618</v>
      </c>
      <c r="I30" s="333"/>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85"/>
    </row>
    <row r="31" spans="1:42" ht="15" customHeight="1" thickBot="1">
      <c r="A31" s="17"/>
      <c r="B31" s="205"/>
      <c r="C31" s="17"/>
      <c r="D31" s="17"/>
      <c r="E31" s="55" t="s">
        <v>453</v>
      </c>
      <c r="F31" s="224">
        <v>300</v>
      </c>
      <c r="G31" s="140" t="s">
        <v>8</v>
      </c>
      <c r="H31" s="334"/>
      <c r="I31" s="335"/>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85"/>
    </row>
    <row r="32" spans="1:42" ht="15" customHeight="1">
      <c r="A32" s="17"/>
      <c r="B32" s="121" t="s">
        <v>668</v>
      </c>
      <c r="C32" s="114"/>
      <c r="D32" s="72"/>
      <c r="E32" s="187" t="s">
        <v>440</v>
      </c>
      <c r="F32" s="188" t="s">
        <v>439</v>
      </c>
      <c r="G32" s="186"/>
      <c r="H32" s="258"/>
      <c r="I32" s="258"/>
      <c r="J32" s="72"/>
      <c r="K32" s="72"/>
      <c r="L32" s="72"/>
      <c r="M32" s="72"/>
      <c r="N32" s="72"/>
      <c r="O32" s="72"/>
      <c r="P32" s="72"/>
      <c r="Q32" s="72"/>
      <c r="R32" s="72"/>
      <c r="S32" s="72"/>
      <c r="T32" s="72"/>
      <c r="U32" s="72"/>
      <c r="V32" s="72"/>
      <c r="W32" s="72"/>
      <c r="X32" s="72"/>
      <c r="Y32" s="72"/>
      <c r="Z32" s="72"/>
      <c r="AA32" s="72"/>
      <c r="AB32" s="72"/>
      <c r="AC32" s="72"/>
      <c r="AD32" s="72"/>
      <c r="AE32" s="72"/>
      <c r="AF32" s="72"/>
      <c r="AG32" s="72"/>
      <c r="AH32" s="72"/>
      <c r="AI32" s="72"/>
      <c r="AJ32" s="72"/>
      <c r="AK32" s="72"/>
      <c r="AL32" s="72"/>
      <c r="AM32" s="72"/>
      <c r="AN32" s="72"/>
      <c r="AO32" s="101"/>
      <c r="AP32" s="25"/>
    </row>
    <row r="33" spans="1:42" ht="15" customHeight="1">
      <c r="A33" s="17"/>
      <c r="B33" s="78"/>
      <c r="C33" s="17"/>
      <c r="D33" s="17"/>
      <c r="E33" s="55" t="s">
        <v>251</v>
      </c>
      <c r="F33" s="51">
        <f>Equations!F20</f>
        <v>2.4009900990099009</v>
      </c>
      <c r="G33" s="140" t="s">
        <v>85</v>
      </c>
      <c r="H33" s="149"/>
      <c r="I33" s="149"/>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85"/>
      <c r="AP33" s="25"/>
    </row>
    <row r="34" spans="1:42" ht="15" customHeight="1">
      <c r="A34" s="17"/>
      <c r="B34" s="75"/>
      <c r="C34" s="17"/>
      <c r="D34" s="17"/>
      <c r="E34" s="55" t="s">
        <v>189</v>
      </c>
      <c r="F34" s="155" t="s">
        <v>186</v>
      </c>
      <c r="G34" s="140"/>
      <c r="H34" s="149"/>
      <c r="I34" s="149"/>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85"/>
      <c r="AP34" s="25" t="s">
        <v>186</v>
      </c>
    </row>
    <row r="35" spans="1:42" ht="15" customHeight="1">
      <c r="A35" s="17"/>
      <c r="B35" s="75"/>
      <c r="C35" s="17"/>
      <c r="D35" s="17"/>
      <c r="E35" s="55" t="s">
        <v>109</v>
      </c>
      <c r="F35" s="156">
        <v>2.5</v>
      </c>
      <c r="G35" s="140" t="s">
        <v>85</v>
      </c>
      <c r="H35" s="149"/>
      <c r="I35" s="149"/>
      <c r="J35" s="102"/>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85"/>
      <c r="AP35" s="25" t="s">
        <v>185</v>
      </c>
    </row>
    <row r="36" spans="1:42" ht="15" customHeight="1">
      <c r="A36" s="17"/>
      <c r="B36" s="75"/>
      <c r="C36" s="17"/>
      <c r="D36" s="17"/>
      <c r="E36" s="55" t="s">
        <v>192</v>
      </c>
      <c r="F36" s="82">
        <f>Equations!F21</f>
        <v>10</v>
      </c>
      <c r="G36" s="142" t="s">
        <v>87</v>
      </c>
      <c r="H36" s="259"/>
      <c r="I36" s="262"/>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85"/>
    </row>
    <row r="37" spans="1:42" ht="15" customHeight="1">
      <c r="A37" s="17"/>
      <c r="B37" s="75"/>
      <c r="C37" s="17"/>
      <c r="D37" s="17"/>
      <c r="E37" s="55" t="s">
        <v>193</v>
      </c>
      <c r="F37" s="81">
        <f>Equations!F22</f>
        <v>0.30927835051546282</v>
      </c>
      <c r="G37" s="142" t="s">
        <v>87</v>
      </c>
      <c r="H37" s="259"/>
      <c r="I37" s="262"/>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85"/>
    </row>
    <row r="38" spans="1:42" ht="15" customHeight="1">
      <c r="A38" s="17"/>
      <c r="B38" s="75"/>
      <c r="C38" s="17"/>
      <c r="D38" s="17"/>
      <c r="E38" s="55" t="s">
        <v>194</v>
      </c>
      <c r="F38" s="155">
        <v>10</v>
      </c>
      <c r="G38" s="142" t="s">
        <v>87</v>
      </c>
      <c r="H38" s="259"/>
      <c r="I38" s="262"/>
      <c r="J38" s="17"/>
      <c r="K38" s="17"/>
      <c r="L38" s="102"/>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85"/>
      <c r="AP38" t="b">
        <f>AND(F34="No")</f>
        <v>0</v>
      </c>
    </row>
    <row r="39" spans="1:42" ht="15" customHeight="1">
      <c r="A39" s="17"/>
      <c r="B39" s="270"/>
      <c r="C39" s="17"/>
      <c r="D39" s="17"/>
      <c r="E39" s="55" t="s">
        <v>195</v>
      </c>
      <c r="F39" s="155">
        <v>0.31</v>
      </c>
      <c r="G39" s="142" t="s">
        <v>87</v>
      </c>
      <c r="H39" s="259"/>
      <c r="I39" s="262"/>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85"/>
    </row>
    <row r="40" spans="1:42" ht="15" customHeight="1">
      <c r="A40" s="17"/>
      <c r="B40" s="270"/>
      <c r="C40" s="17"/>
      <c r="D40" s="17"/>
      <c r="E40" s="55" t="s">
        <v>250</v>
      </c>
      <c r="F40" s="81">
        <f>RsEFF</f>
        <v>2.4248302618816684</v>
      </c>
      <c r="G40" s="140" t="s">
        <v>85</v>
      </c>
      <c r="H40" s="260"/>
      <c r="I40" s="149"/>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85"/>
    </row>
    <row r="41" spans="1:42" ht="15" customHeight="1">
      <c r="A41" s="17"/>
      <c r="B41" s="202"/>
      <c r="C41" s="17"/>
      <c r="D41" s="96"/>
      <c r="E41" s="97" t="s">
        <v>99</v>
      </c>
      <c r="F41" s="53">
        <f>CLMIN</f>
        <v>20.0014</v>
      </c>
      <c r="G41" s="140" t="s">
        <v>25</v>
      </c>
      <c r="H41" s="149"/>
      <c r="I41" s="149"/>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85"/>
    </row>
    <row r="42" spans="1:42" ht="15" customHeight="1">
      <c r="A42" s="17"/>
      <c r="B42" s="75"/>
      <c r="C42" s="17"/>
      <c r="D42" s="98"/>
      <c r="E42" s="99" t="s">
        <v>100</v>
      </c>
      <c r="F42" s="53">
        <f>CLNOM</f>
        <v>22.681999999999999</v>
      </c>
      <c r="G42" s="140" t="s">
        <v>25</v>
      </c>
      <c r="H42" s="149"/>
      <c r="I42" s="149"/>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85"/>
    </row>
    <row r="43" spans="1:42" ht="15" customHeight="1">
      <c r="A43" s="17"/>
      <c r="B43" s="75"/>
      <c r="C43" s="17"/>
      <c r="D43" s="119"/>
      <c r="E43" s="120" t="s">
        <v>101</v>
      </c>
      <c r="F43" s="53">
        <f>CLMAX</f>
        <v>25.3626</v>
      </c>
      <c r="G43" s="140" t="s">
        <v>25</v>
      </c>
      <c r="H43" s="149"/>
      <c r="I43" s="149"/>
      <c r="J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85"/>
      <c r="AP43" s="25" t="s">
        <v>230</v>
      </c>
    </row>
    <row r="44" spans="1:42" ht="15" customHeight="1">
      <c r="A44" s="17"/>
      <c r="B44" s="75"/>
      <c r="C44" s="17"/>
      <c r="D44" s="17"/>
      <c r="E44" s="55" t="s">
        <v>113</v>
      </c>
      <c r="F44" s="38">
        <f>Equations!F27/1000</f>
        <v>1.6081536969000001</v>
      </c>
      <c r="G44" s="140" t="s">
        <v>87</v>
      </c>
      <c r="H44" s="149"/>
      <c r="I44" s="149"/>
      <c r="J44" s="17"/>
      <c r="K44" s="328" t="s">
        <v>620</v>
      </c>
      <c r="L44" s="328"/>
      <c r="M44" s="328"/>
      <c r="N44" s="328"/>
      <c r="O44" s="328"/>
      <c r="P44" s="328"/>
      <c r="Q44" s="328"/>
      <c r="R44" s="328"/>
      <c r="S44" s="328"/>
      <c r="T44" s="328"/>
      <c r="U44" s="328"/>
      <c r="V44" s="328"/>
      <c r="W44" s="328"/>
      <c r="X44" s="328"/>
      <c r="Y44" s="328"/>
      <c r="Z44" s="328"/>
      <c r="AA44" s="328"/>
      <c r="AB44" s="328"/>
      <c r="AC44" s="328"/>
      <c r="AD44" s="328"/>
      <c r="AE44" s="328"/>
      <c r="AF44" s="328"/>
      <c r="AG44" s="328"/>
      <c r="AH44" s="328"/>
      <c r="AI44" s="328"/>
      <c r="AJ44" s="328"/>
      <c r="AK44" s="328"/>
      <c r="AL44" s="328"/>
      <c r="AM44" s="328"/>
      <c r="AN44" s="328"/>
      <c r="AO44" s="85"/>
      <c r="AP44" s="25" t="s">
        <v>231</v>
      </c>
    </row>
    <row r="45" spans="1:42" ht="15" customHeight="1">
      <c r="A45" s="17"/>
      <c r="B45" s="75"/>
      <c r="C45" s="17"/>
      <c r="D45" s="17"/>
      <c r="E45" s="55" t="s">
        <v>229</v>
      </c>
      <c r="F45" s="209" t="s">
        <v>230</v>
      </c>
      <c r="G45" s="140"/>
      <c r="H45" s="149"/>
      <c r="I45" s="149"/>
      <c r="J45" s="102"/>
      <c r="K45" s="328"/>
      <c r="L45" s="328"/>
      <c r="M45" s="328"/>
      <c r="N45" s="328"/>
      <c r="O45" s="328"/>
      <c r="P45" s="328"/>
      <c r="Q45" s="328"/>
      <c r="R45" s="328"/>
      <c r="S45" s="328"/>
      <c r="T45" s="328"/>
      <c r="U45" s="328"/>
      <c r="V45" s="328"/>
      <c r="W45" s="328"/>
      <c r="X45" s="328"/>
      <c r="Y45" s="328"/>
      <c r="Z45" s="328"/>
      <c r="AA45" s="328"/>
      <c r="AB45" s="328"/>
      <c r="AC45" s="328"/>
      <c r="AD45" s="328"/>
      <c r="AE45" s="328"/>
      <c r="AF45" s="328"/>
      <c r="AG45" s="328"/>
      <c r="AH45" s="328"/>
      <c r="AI45" s="328"/>
      <c r="AJ45" s="328"/>
      <c r="AK45" s="328"/>
      <c r="AL45" s="328"/>
      <c r="AM45" s="328"/>
      <c r="AN45" s="328"/>
      <c r="AO45" s="85"/>
      <c r="AP45" s="25" t="s">
        <v>404</v>
      </c>
    </row>
    <row r="46" spans="1:42" ht="15" customHeight="1">
      <c r="A46" s="17"/>
      <c r="B46" s="75"/>
      <c r="C46" s="17"/>
      <c r="D46" s="17"/>
      <c r="E46" s="95" t="s">
        <v>217</v>
      </c>
      <c r="F46" s="209" t="s">
        <v>404</v>
      </c>
      <c r="G46" s="140"/>
      <c r="H46" s="149"/>
      <c r="I46" s="149"/>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85"/>
      <c r="AP46" s="25" t="s">
        <v>405</v>
      </c>
    </row>
    <row r="47" spans="1:42" ht="15" customHeight="1">
      <c r="A47" s="17"/>
      <c r="B47" s="75"/>
      <c r="C47" s="17"/>
      <c r="D47" s="17"/>
      <c r="E47" s="95"/>
      <c r="F47" s="208"/>
      <c r="G47" s="140"/>
      <c r="H47" s="260"/>
      <c r="I47" s="149"/>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85"/>
      <c r="AP47" s="25"/>
    </row>
    <row r="48" spans="1:42" ht="15" customHeight="1">
      <c r="A48" s="17"/>
      <c r="B48" s="75"/>
      <c r="C48" s="17"/>
      <c r="D48" s="17"/>
      <c r="E48" s="55" t="s">
        <v>441</v>
      </c>
      <c r="F48" s="134">
        <f>Equations!F40</f>
        <v>45.363999999999997</v>
      </c>
      <c r="G48" s="140" t="s">
        <v>87</v>
      </c>
      <c r="H48" s="149"/>
      <c r="I48" s="149"/>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85"/>
      <c r="AP48" s="25"/>
    </row>
    <row r="49" spans="1:60" ht="15" customHeight="1">
      <c r="A49" s="17"/>
      <c r="B49" s="75"/>
      <c r="C49" s="17"/>
      <c r="D49" s="17"/>
      <c r="E49" s="55" t="s">
        <v>268</v>
      </c>
      <c r="F49" s="193">
        <v>75</v>
      </c>
      <c r="G49" s="140" t="s">
        <v>87</v>
      </c>
      <c r="H49" s="149"/>
      <c r="I49" s="149"/>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85"/>
      <c r="AP49" s="25"/>
    </row>
    <row r="50" spans="1:60" ht="15" customHeight="1">
      <c r="A50" s="17"/>
      <c r="B50" s="75"/>
      <c r="C50" s="17"/>
      <c r="D50" s="17"/>
      <c r="E50" s="55" t="s">
        <v>269</v>
      </c>
      <c r="F50" s="118">
        <f>Equations!F42</f>
        <v>22.732783705140648</v>
      </c>
      <c r="G50" s="144" t="s">
        <v>84</v>
      </c>
      <c r="H50" s="261"/>
      <c r="I50" s="261"/>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85"/>
      <c r="AP50" s="25"/>
    </row>
    <row r="51" spans="1:60" ht="15" customHeight="1">
      <c r="A51" s="17"/>
      <c r="B51" s="75"/>
      <c r="C51" s="17"/>
      <c r="D51" s="17"/>
      <c r="E51" s="55" t="s">
        <v>272</v>
      </c>
      <c r="F51" s="156">
        <v>22</v>
      </c>
      <c r="G51" s="144" t="s">
        <v>84</v>
      </c>
      <c r="H51" s="261"/>
      <c r="I51" s="261"/>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85"/>
      <c r="AP51" s="25"/>
    </row>
    <row r="52" spans="1:60" ht="15" customHeight="1" thickBot="1">
      <c r="A52" s="17"/>
      <c r="B52" s="75"/>
      <c r="C52" s="17"/>
      <c r="D52" s="17"/>
      <c r="E52" s="55" t="s">
        <v>275</v>
      </c>
      <c r="F52" s="215">
        <f>Equations!F44</f>
        <v>72.582399999999993</v>
      </c>
      <c r="G52" s="140" t="s">
        <v>87</v>
      </c>
      <c r="H52" s="149"/>
      <c r="I52" s="149"/>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85"/>
      <c r="AP52" s="25"/>
    </row>
    <row r="53" spans="1:60" ht="15" customHeight="1">
      <c r="A53" s="17"/>
      <c r="B53" s="121" t="s">
        <v>672</v>
      </c>
      <c r="C53" s="72"/>
      <c r="D53" s="72"/>
      <c r="E53" s="216" t="s">
        <v>445</v>
      </c>
      <c r="F53" s="225" t="s">
        <v>612</v>
      </c>
      <c r="G53" s="225" t="s">
        <v>612</v>
      </c>
      <c r="H53" s="226" t="s">
        <v>669</v>
      </c>
      <c r="I53" s="143"/>
      <c r="J53" s="72"/>
      <c r="K53" s="72"/>
      <c r="L53" s="72"/>
      <c r="M53" s="72"/>
      <c r="N53" s="72"/>
      <c r="O53" s="72"/>
      <c r="P53" s="72"/>
      <c r="Q53" s="72"/>
      <c r="R53" s="72"/>
      <c r="S53" s="72"/>
      <c r="T53" s="72"/>
      <c r="U53" s="72"/>
      <c r="V53" s="72"/>
      <c r="W53" s="72"/>
      <c r="X53" s="72"/>
      <c r="Y53" s="72"/>
      <c r="Z53" s="72"/>
      <c r="AA53" s="72"/>
      <c r="AB53" s="72"/>
      <c r="AC53" s="72"/>
      <c r="AD53" s="72"/>
      <c r="AE53" s="72"/>
      <c r="AF53" s="72"/>
      <c r="AG53" s="72"/>
      <c r="AH53" s="72"/>
      <c r="AI53" s="72"/>
      <c r="AJ53" s="72"/>
      <c r="AK53" s="72"/>
      <c r="AL53" s="72"/>
      <c r="AM53" s="72"/>
      <c r="AN53" s="72"/>
      <c r="AO53" s="101"/>
      <c r="AV53" s="25" t="s">
        <v>649</v>
      </c>
      <c r="AW53" s="25" t="s">
        <v>648</v>
      </c>
      <c r="AX53" s="25" t="s">
        <v>530</v>
      </c>
      <c r="AY53" s="25" t="s">
        <v>531</v>
      </c>
      <c r="AZ53" s="25" t="s">
        <v>336</v>
      </c>
      <c r="BD53" s="25" t="s">
        <v>650</v>
      </c>
      <c r="BE53" s="25" t="s">
        <v>647</v>
      </c>
      <c r="BF53" s="25" t="s">
        <v>530</v>
      </c>
      <c r="BG53" s="25" t="s">
        <v>531</v>
      </c>
      <c r="BH53" s="25" t="s">
        <v>336</v>
      </c>
    </row>
    <row r="54" spans="1:60" ht="15" customHeight="1">
      <c r="A54" s="17"/>
      <c r="B54" s="343" t="s">
        <v>663</v>
      </c>
      <c r="C54" s="17"/>
      <c r="D54" s="17"/>
      <c r="E54" s="55" t="s">
        <v>512</v>
      </c>
      <c r="F54" s="233" t="s">
        <v>674</v>
      </c>
      <c r="G54" s="233" t="s">
        <v>675</v>
      </c>
      <c r="H54" s="318" t="s">
        <v>644</v>
      </c>
      <c r="I54" s="140"/>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85"/>
      <c r="AP54">
        <f ca="1">((((TJMAX-TAMB)/ThetaJA)/(CLMAX^2))*1000)*NUMFETS1^2</f>
        <v>23.836859254950316</v>
      </c>
      <c r="AQ54">
        <f>((TJMAX-TAMB)/ThetaJA)</f>
        <v>3.8333333333333335</v>
      </c>
      <c r="AV54" t="str">
        <f>'MOSFET Database 48V'!B4</f>
        <v>CSD19536KTT</v>
      </c>
      <c r="AW54" t="str">
        <f t="shared" ref="AW54:AW63" si="0">AV54&amp;" , "&amp;ROUND(AZ54,2)&amp;" , $"&amp;AX54</f>
        <v>CSD19536KTT , 1.07 , $1.972</v>
      </c>
      <c r="AX54" s="265">
        <f>'MOSFET Database 48V'!C35</f>
        <v>1.972</v>
      </c>
      <c r="AY54" s="3">
        <f>'MOSFET Database 48V'!C33</f>
        <v>0.34559999999999996</v>
      </c>
      <c r="AZ54" s="3">
        <f>'MOSFET Database 48V'!C61</f>
        <v>1.0712284608041136</v>
      </c>
      <c r="BD54" t="str">
        <f>'MOSFET Database 24V'!J4</f>
        <v>CSD18535KTT</v>
      </c>
      <c r="BE54" t="str">
        <f>BD54&amp;" , "&amp;ROUND(BH54,2)&amp;" , $"&amp;BF54</f>
        <v>CSD18535KTT , 0.94 , $1.266</v>
      </c>
      <c r="BF54" s="265">
        <f>'MOSFET Database 24V'!K35</f>
        <v>1.266</v>
      </c>
      <c r="BG54" s="3">
        <f>'MOSFET Database 24V'!K33</f>
        <v>0.28000000000000003</v>
      </c>
      <c r="BH54" s="3">
        <f>'MOSFET Database 24V'!K61</f>
        <v>0.94158938686454563</v>
      </c>
    </row>
    <row r="55" spans="1:60" ht="15" customHeight="1">
      <c r="A55" s="17"/>
      <c r="B55" s="343"/>
      <c r="C55" s="17"/>
      <c r="D55" s="17"/>
      <c r="E55" s="55" t="s">
        <v>253</v>
      </c>
      <c r="F55" s="233">
        <f ca="1">IF(VINMAX&lt;=40,'MOSFET Database 24V'!C80,'MOSFET Database 48V'!C80)</f>
        <v>2.8</v>
      </c>
      <c r="G55" s="233">
        <f ca="1">IF(VINMAX&lt;=40,'MOSFET Database 24V'!G80,'MOSFET Database 48V'!G80)</f>
        <v>3.1240000000000001</v>
      </c>
      <c r="H55" s="214">
        <v>2</v>
      </c>
      <c r="I55" s="140" t="s">
        <v>85</v>
      </c>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85"/>
      <c r="AP55" s="21" t="s">
        <v>248</v>
      </c>
      <c r="AV55" t="str">
        <f>'MOSFET Database 48V'!F4</f>
        <v>CSD19535KTT</v>
      </c>
      <c r="AW55" t="str">
        <f t="shared" si="0"/>
        <v>CSD19535KTT , 0.64 , $1.313</v>
      </c>
      <c r="AX55" s="265">
        <f>'MOSFET Database 48V'!G35</f>
        <v>1.3129999999999999</v>
      </c>
      <c r="AY55" s="3">
        <f>'MOSFET Database 48V'!G33</f>
        <v>0.23875555555555553</v>
      </c>
      <c r="AZ55" s="3">
        <f>'MOSFET Database 48V'!G61</f>
        <v>0.64287812048166615</v>
      </c>
      <c r="BD55" t="str">
        <f>'MOSFET Database 24V'!F4</f>
        <v>CSD18536KTT</v>
      </c>
      <c r="BE55" t="str">
        <f>BD55&amp;" , "&amp;ROUND(BH55,2)&amp;" , $"&amp;BF55</f>
        <v>CSD18536KTT , 0.93 , $1.894</v>
      </c>
      <c r="BF55" s="265">
        <f>'MOSFET Database 24V'!G35</f>
        <v>1.8939999999999999</v>
      </c>
      <c r="BG55" s="3">
        <f>'MOSFET Database 24V'!G33</f>
        <v>0.224</v>
      </c>
      <c r="BH55" s="3">
        <f>'MOSFET Database 24V'!G61</f>
        <v>0.92654761568104382</v>
      </c>
    </row>
    <row r="56" spans="1:60" ht="15" customHeight="1">
      <c r="A56" s="17"/>
      <c r="B56" s="343"/>
      <c r="C56" s="17"/>
      <c r="D56" s="17"/>
      <c r="E56" s="55" t="s">
        <v>125</v>
      </c>
      <c r="F56" s="233">
        <f ca="1">IF(VINMAX&lt;=40,'MOSFET Database 24V'!C79,'MOSFET Database 48V'!C79)</f>
        <v>175</v>
      </c>
      <c r="G56" s="233">
        <f ca="1">IF(VINMAX&lt;=40,'MOSFET Database 24V'!G79,'MOSFET Database 48V'!G79)</f>
        <v>175</v>
      </c>
      <c r="H56" s="214">
        <v>175</v>
      </c>
      <c r="I56" s="222" t="s">
        <v>123</v>
      </c>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85"/>
      <c r="AP56" s="25">
        <f>H56</f>
        <v>175</v>
      </c>
      <c r="AV56" t="str">
        <f>'MOSFET Database 48V'!N4</f>
        <v>CSD19532KTT</v>
      </c>
      <c r="AW56" t="str">
        <f t="shared" si="0"/>
        <v>CSD19532KTT , 0.29 , $0.914</v>
      </c>
      <c r="AX56" s="265">
        <f>'MOSFET Database 48V'!O35</f>
        <v>0.91400000000000003</v>
      </c>
      <c r="AY56" s="3">
        <f>'MOSFET Database 48V'!O33</f>
        <v>0.3982222222222222</v>
      </c>
      <c r="AZ56" s="3">
        <f>'MOSFET Database 48V'!O61</f>
        <v>0.28796096591083004</v>
      </c>
      <c r="BD56" t="str">
        <f>'MOSFET Database 24V'!R4</f>
        <v>CSD19506KTT</v>
      </c>
      <c r="BE56" t="str">
        <f>BD56&amp;" , "&amp;ROUND(BH56,2)&amp;" , $"&amp;BF56</f>
        <v>CSD19506KTT , 0.91 , $1.972</v>
      </c>
      <c r="BF56" s="265">
        <f>'MOSFET Database 24V'!S35</f>
        <v>1.972</v>
      </c>
      <c r="BG56" s="3">
        <f>'MOSFET Database 24V'!S33</f>
        <v>0.33350000000000002</v>
      </c>
      <c r="BH56" s="3">
        <f>'MOSFET Database 24V'!S61</f>
        <v>0.90899062500763772</v>
      </c>
    </row>
    <row r="57" spans="1:60" ht="15" customHeight="1">
      <c r="A57" s="17"/>
      <c r="B57" s="343"/>
      <c r="C57" s="17"/>
      <c r="D57" s="17"/>
      <c r="E57" s="55" t="s">
        <v>513</v>
      </c>
      <c r="F57" s="292">
        <f ca="1">IF(VINMAX&lt;=40,'MOSFET Database 24V'!C70,'MOSFET Database 48V'!C70)</f>
        <v>400</v>
      </c>
      <c r="G57" s="292">
        <f ca="1">IF(VINMAX&lt;=40,'MOSFET Database 24V'!G70,'MOSFET Database 48V'!G70)</f>
        <v>400</v>
      </c>
      <c r="H57" s="293">
        <v>200</v>
      </c>
      <c r="I57" s="140" t="s">
        <v>25</v>
      </c>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85"/>
      <c r="AP57" s="25">
        <f t="shared" ref="AP57:AP62" si="1">H57</f>
        <v>200</v>
      </c>
      <c r="AV57" t="str">
        <f>'MOSFET Database 48V'!R4</f>
        <v>CSD19531Q5A</v>
      </c>
      <c r="AW57" t="str">
        <f t="shared" si="0"/>
        <v>CSD19531Q5A , 0.11 , $0.611</v>
      </c>
      <c r="AX57" s="265">
        <f>'MOSFET Database 48V'!S35</f>
        <v>0.61099999999999999</v>
      </c>
      <c r="AY57" s="3">
        <f>'MOSFET Database 48V'!S33</f>
        <v>0.44373333333333337</v>
      </c>
      <c r="AZ57" s="3">
        <f>'MOSFET Database 48V'!S61</f>
        <v>0.10919611467283598</v>
      </c>
      <c r="BD57" t="str">
        <f>'MOSFET Database 24V'!V4</f>
        <v>CSD19505KTT</v>
      </c>
      <c r="BE57" t="str">
        <f>BD57&amp;" , "&amp;ROUND(BH57,2)&amp;" , $"&amp;BF57</f>
        <v>CSD19505KTT , 0.65 , $1.313</v>
      </c>
      <c r="BF57" s="265">
        <f>'MOSFET Database 24V'!W35</f>
        <v>1.3129999999999999</v>
      </c>
      <c r="BG57" s="3">
        <f>'MOSFET Database 24V'!W33</f>
        <v>0.4526</v>
      </c>
      <c r="BH57" s="3">
        <f>'MOSFET Database 24V'!W61</f>
        <v>0.64900795850530746</v>
      </c>
    </row>
    <row r="58" spans="1:60" ht="15" customHeight="1">
      <c r="A58" s="17"/>
      <c r="B58" s="203"/>
      <c r="C58" s="17"/>
      <c r="D58" s="17"/>
      <c r="E58" s="55" t="s">
        <v>514</v>
      </c>
      <c r="F58" s="292">
        <f ca="1">IF(VINMAX&lt;=40,'MOSFET Database 24V'!C71,'MOSFET Database 48V'!C71)</f>
        <v>327.27272727272731</v>
      </c>
      <c r="G58" s="292">
        <f ca="1">IF(VINMAX&lt;=40,'MOSFET Database 24V'!G71,'MOSFET Database 48V'!G71)</f>
        <v>231.10192495122752</v>
      </c>
      <c r="H58" s="293">
        <v>90</v>
      </c>
      <c r="I58" s="140" t="s">
        <v>25</v>
      </c>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85"/>
      <c r="AP58" s="25">
        <f t="shared" si="1"/>
        <v>90</v>
      </c>
      <c r="AV58" t="str">
        <f>'MOSFET Database 48V'!J4</f>
        <v>CSD19532Q5B</v>
      </c>
      <c r="AW58" t="str">
        <f t="shared" si="0"/>
        <v>CSD19532Q5B , 0.14 , $0.896</v>
      </c>
      <c r="AX58" s="265">
        <f>'MOSFET Database 48V'!K35</f>
        <v>0.89600000000000002</v>
      </c>
      <c r="AY58" s="3">
        <f>'MOSFET Database 48V'!K33</f>
        <v>0.34626666666666667</v>
      </c>
      <c r="AZ58" s="3">
        <f>'MOSFET Database 48V'!K61</f>
        <v>0.1397200664915042</v>
      </c>
      <c r="BD58" t="str">
        <f>'MOSFET Database 24V'!AP4</f>
        <v>CSD18532KCS</v>
      </c>
      <c r="BE58" t="str">
        <f>BD58&amp;" , "&amp;ROUND(BH58,2)&amp;" , $"&amp;BF58</f>
        <v>CSD18532KCS , 0.63 , $0.818</v>
      </c>
      <c r="BF58" s="265">
        <f>'MOSFET Database 24V'!AQ35</f>
        <v>0.81799999999999995</v>
      </c>
      <c r="BG58" s="3">
        <f>'MOSFET Database 24V'!AQ33</f>
        <v>0.27626666666666666</v>
      </c>
      <c r="BH58" s="3">
        <f>'MOSFET Database 24V'!AQ61</f>
        <v>0.6280719183456499</v>
      </c>
    </row>
    <row r="59" spans="1:60" ht="15" customHeight="1">
      <c r="A59" s="17"/>
      <c r="B59" s="204"/>
      <c r="C59" s="17"/>
      <c r="D59" s="17"/>
      <c r="E59" s="55" t="s">
        <v>362</v>
      </c>
      <c r="F59" s="292">
        <f ca="1">IF(VINMAX&lt;=40,'MOSFET Database 24V'!C72,'MOSFET Database 48V'!C72)</f>
        <v>40.362880426103516</v>
      </c>
      <c r="G59" s="292">
        <f ca="1">IF(VINMAX&lt;=40,'MOSFET Database 24V'!G72,'MOSFET Database 48V'!G72)</f>
        <v>23.095628457895071</v>
      </c>
      <c r="H59" s="293">
        <v>40</v>
      </c>
      <c r="I59" s="140" t="s">
        <v>25</v>
      </c>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85"/>
      <c r="AP59" s="25">
        <f t="shared" si="1"/>
        <v>40</v>
      </c>
      <c r="AV59" t="str">
        <f>'MOSFET Database 48V'!V4</f>
        <v>CSD19533Q5A</v>
      </c>
      <c r="AW59" t="str">
        <f t="shared" si="0"/>
        <v>CSD19533Q5A , 0.13 , $0.48</v>
      </c>
      <c r="AX59" s="265">
        <f>'MOSFET Database 48V'!W35</f>
        <v>0.48</v>
      </c>
      <c r="AY59" s="3">
        <f>'MOSFET Database 48V'!W33</f>
        <v>0.376</v>
      </c>
      <c r="AZ59" s="3">
        <f>'MOSFET Database 48V'!W61</f>
        <v>0.12810832279599038</v>
      </c>
      <c r="BD59" t="str">
        <f>'MOSFET Database 24V'!AH4</f>
        <v>CSD18542KTT</v>
      </c>
      <c r="BE59" t="str">
        <f>BD59&amp;" , "&amp;ROUND(BH59,2)&amp;" , $"&amp;BF59</f>
        <v>CSD18542KTT , 0.62 , $0.861</v>
      </c>
      <c r="BF59" s="265">
        <f>'MOSFET Database 24V'!AI35</f>
        <v>0.86099999999999999</v>
      </c>
      <c r="BG59" s="3">
        <f>'MOSFET Database 24V'!AI33</f>
        <v>0.26133333333333331</v>
      </c>
      <c r="BH59" s="3">
        <f>'MOSFET Database 24V'!AI61</f>
        <v>0.61632940239815126</v>
      </c>
    </row>
    <row r="60" spans="1:60" ht="15" customHeight="1">
      <c r="A60" s="17"/>
      <c r="B60" s="204"/>
      <c r="C60" s="17"/>
      <c r="D60" s="17"/>
      <c r="E60" s="55" t="s">
        <v>515</v>
      </c>
      <c r="F60" s="292">
        <f ca="1">IF(VINMAX&lt;=40,'MOSFET Database 24V'!C73,'MOSFET Database 48V'!C73)</f>
        <v>10.950966872772515</v>
      </c>
      <c r="G60" s="292">
        <f ca="1">IF(VINMAX&lt;=40,'MOSFET Database 24V'!G73,'MOSFET Database 48V'!G73)</f>
        <v>8.1027436190815365</v>
      </c>
      <c r="H60" s="293">
        <v>10</v>
      </c>
      <c r="I60" s="140" t="s">
        <v>25</v>
      </c>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85"/>
      <c r="AP60" s="25">
        <f t="shared" si="1"/>
        <v>10</v>
      </c>
      <c r="AV60" t="str">
        <f>'MOSFET Database 48V'!AD4</f>
        <v>CSD19534Q5A</v>
      </c>
      <c r="AW60" t="str">
        <f t="shared" si="0"/>
        <v>CSD19534Q5A , 0.11 , $0.335</v>
      </c>
      <c r="AX60" s="265">
        <f>'MOSFET Database 48V'!AE35</f>
        <v>0.33500000000000002</v>
      </c>
      <c r="AY60" s="3">
        <f>'MOSFET Database 48V'!AE33</f>
        <v>0.36964799999999998</v>
      </c>
      <c r="AZ60" s="3">
        <f>'MOSFET Database 48V'!AE61</f>
        <v>0.11354618197991571</v>
      </c>
      <c r="BD60" t="str">
        <f>'MOSFET Database 24V'!N4</f>
        <v>CSD18540Q5B</v>
      </c>
      <c r="BE60" t="str">
        <f>BD60&amp;" , "&amp;ROUND(BH60,2)&amp;" , $"&amp;BF60</f>
        <v>CSD18540Q5B , 0.36 , $0.867</v>
      </c>
      <c r="BF60" s="265">
        <f>'MOSFET Database 24V'!O35</f>
        <v>0.86699999999999999</v>
      </c>
      <c r="BG60" s="3">
        <f>'MOSFET Database 24V'!O33</f>
        <v>0.31240000000000001</v>
      </c>
      <c r="BH60" s="3">
        <f>'MOSFET Database 24V'!O61</f>
        <v>0.36085711830782141</v>
      </c>
    </row>
    <row r="61" spans="1:60" ht="15" customHeight="1">
      <c r="A61" s="17"/>
      <c r="B61" s="203"/>
      <c r="C61" s="17"/>
      <c r="D61" s="17"/>
      <c r="E61" s="55" t="s">
        <v>516</v>
      </c>
      <c r="F61" s="292">
        <f ca="1">IF(VINMAX&lt;=40,'MOSFET Database 24V'!C74,'MOSFET Database 48V'!C74)</f>
        <v>7.0471211308055244</v>
      </c>
      <c r="G61" s="292">
        <f ca="1">IF(VINMAX&lt;=40,'MOSFET Database 24V'!G74,'MOSFET Database 48V'!G74)</f>
        <v>3.3673934545713862</v>
      </c>
      <c r="H61" s="294">
        <v>8</v>
      </c>
      <c r="I61" s="140" t="s">
        <v>25</v>
      </c>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85"/>
      <c r="AP61" s="25">
        <f t="shared" si="1"/>
        <v>8</v>
      </c>
      <c r="AU61" s="229"/>
      <c r="AV61" t="str">
        <f>'MOSFET Database 48V'!Z4</f>
        <v>CSD19537Q3</v>
      </c>
      <c r="AW61" t="str">
        <f t="shared" si="0"/>
        <v>CSD19537Q3 , 0.13 , $0.401</v>
      </c>
      <c r="AX61" s="265">
        <f>'MOSFET Database 48V'!AA35</f>
        <v>0.40100000000000002</v>
      </c>
      <c r="AY61" s="3">
        <f>'MOSFET Database 48V'!AA33</f>
        <v>0.37352000000000002</v>
      </c>
      <c r="AZ61" s="3">
        <f>'MOSFET Database 48V'!AA61</f>
        <v>0.12593982222167951</v>
      </c>
      <c r="BD61" t="str">
        <f>'MOSFET Database 24V'!BB4</f>
        <v>CSD19501KCS</v>
      </c>
      <c r="BE61" t="str">
        <f>BD61&amp;" , "&amp;ROUND(BH61,2)&amp;" , $"&amp;BF61</f>
        <v>CSD19501KCS , 0.34 , $0.719</v>
      </c>
      <c r="BF61" s="265">
        <f>'MOSFET Database 24V'!BC35</f>
        <v>0.71899999999999997</v>
      </c>
      <c r="BG61" s="3">
        <f>'MOSFET Database 24V'!BC33</f>
        <v>0.43119999999999997</v>
      </c>
      <c r="BH61" s="3">
        <f>'MOSFET Database 24V'!BC61</f>
        <v>0.34144102412544858</v>
      </c>
    </row>
    <row r="62" spans="1:60" ht="15" customHeight="1">
      <c r="A62" s="17"/>
      <c r="B62" s="203"/>
      <c r="C62" s="17"/>
      <c r="D62" s="17"/>
      <c r="E62" s="55"/>
      <c r="F62" s="151"/>
      <c r="G62" s="151"/>
      <c r="H62" s="220"/>
      <c r="I62" s="223"/>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85"/>
      <c r="AP62" s="25">
        <f t="shared" si="1"/>
        <v>0</v>
      </c>
      <c r="AU62" s="229"/>
      <c r="AV62" t="str">
        <f>'MOSFET Database 48V'!AL4</f>
        <v>CSD19538Q3A</v>
      </c>
      <c r="AW62" t="str">
        <f t="shared" si="0"/>
        <v>CSD19538Q3A , 0.05 , $0.162</v>
      </c>
      <c r="AX62" s="265">
        <f>'MOSFET Database 48V'!AM35</f>
        <v>0.16200000000000001</v>
      </c>
      <c r="AY62" s="3">
        <f>'MOSFET Database 48V'!AM33</f>
        <v>0.43703703703703706</v>
      </c>
      <c r="AZ62" s="3">
        <f>'MOSFET Database 48V'!AM61</f>
        <v>4.5369581815652142E-2</v>
      </c>
      <c r="BD62" t="str">
        <f>'MOSFET Database 24V'!BJ4</f>
        <v>CSD19503KCS</v>
      </c>
      <c r="BE62" t="str">
        <f>BD62&amp;" , "&amp;ROUND(BH62,2)&amp;" , $"&amp;BF62</f>
        <v>CSD19503KCS , 0.29 , $0.587</v>
      </c>
      <c r="BF62" s="265">
        <f>'MOSFET Database 24V'!BK35</f>
        <v>0.58699999999999997</v>
      </c>
      <c r="BG62" s="3">
        <f>'MOSFET Database 24V'!BK33</f>
        <v>0.3634</v>
      </c>
      <c r="BH62" s="3">
        <f>'MOSFET Database 24V'!BK61</f>
        <v>0.29413709035999591</v>
      </c>
    </row>
    <row r="63" spans="1:60" ht="15" customHeight="1">
      <c r="A63" s="17"/>
      <c r="B63" s="338" t="s">
        <v>434</v>
      </c>
      <c r="C63" s="17"/>
      <c r="D63" s="17"/>
      <c r="E63" s="28"/>
      <c r="F63" s="151"/>
      <c r="G63" s="151"/>
      <c r="H63" s="221"/>
      <c r="I63" s="223"/>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85"/>
      <c r="AU63" s="229"/>
      <c r="AV63" t="str">
        <f>'MOSFET Database 48V'!AH4</f>
        <v>CSD19538Q2</v>
      </c>
      <c r="AW63" t="str">
        <f t="shared" si="0"/>
        <v>CSD19538Q2 , 0.03 , $0.162</v>
      </c>
      <c r="AX63" s="265">
        <f>'MOSFET Database 48V'!AI35</f>
        <v>0.16200000000000001</v>
      </c>
      <c r="AY63" s="3">
        <f>'MOSFET Database 48V'!AI33</f>
        <v>0.46034567901234569</v>
      </c>
      <c r="AZ63" s="3">
        <f>'MOSFET Database 48V'!AI61</f>
        <v>3.1139405258913407E-2</v>
      </c>
      <c r="BD63" t="str">
        <f>'MOSFET Database 24V'!AD4</f>
        <v>CSD18532NQ5B</v>
      </c>
      <c r="BE63" t="str">
        <f>BD63&amp;" , "&amp;ROUND(BH63,2)&amp;" , $"&amp;BF63</f>
        <v>CSD18532NQ5B , 0.28 , $0.845</v>
      </c>
      <c r="BF63" s="265">
        <f>'MOSFET Database 24V'!AE35</f>
        <v>0.84499999999999997</v>
      </c>
      <c r="BG63" s="3">
        <f>'MOSFET Database 24V'!AE33</f>
        <v>0.23573333333333332</v>
      </c>
      <c r="BH63" s="3">
        <f>'MOSFET Database 24V'!AE61</f>
        <v>0.28448448341997951</v>
      </c>
    </row>
    <row r="64" spans="1:60" ht="15" customHeight="1">
      <c r="A64" s="17"/>
      <c r="B64" s="338"/>
      <c r="C64" s="17"/>
      <c r="D64" s="17"/>
      <c r="E64" s="217" t="s">
        <v>517</v>
      </c>
      <c r="F64" s="233">
        <f ca="1">IF(VINMAX&lt;=40,'MOSFET Database 24V'!C77,'MOSFET Database 48V'!C77)</f>
        <v>2</v>
      </c>
      <c r="G64" s="233">
        <f ca="1">IF(VINMAX&lt;=40,'MOSFET Database 24V'!G77,'MOSFET Database 48V'!G77)</f>
        <v>2</v>
      </c>
      <c r="H64" s="237">
        <f ca="1">'MOSFET Database 24V'!K77</f>
        <v>2</v>
      </c>
      <c r="I64" s="140" t="s">
        <v>122</v>
      </c>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85"/>
      <c r="AU64" s="229"/>
      <c r="BD64" t="str">
        <f>'MOSFET Database 24V'!BF4</f>
        <v>CSD18563Q5A</v>
      </c>
      <c r="BE64" t="str">
        <f>BD64&amp;" , "&amp;ROUND(BH64,2)&amp;" , $"&amp;BF64</f>
        <v>CSD18563Q5A , 0.17 , $0.477</v>
      </c>
      <c r="BF64" s="265">
        <f>'MOSFET Database 24V'!BG35</f>
        <v>0.47699999999999998</v>
      </c>
      <c r="BG64" s="3">
        <f>'MOSFET Database 24V'!BG33</f>
        <v>0.47146666666666665</v>
      </c>
      <c r="BH64" s="3">
        <f>'MOSFET Database 24V'!BG61</f>
        <v>0.16917487427499034</v>
      </c>
    </row>
    <row r="65" spans="1:60" ht="15" customHeight="1">
      <c r="A65" s="17"/>
      <c r="B65" s="338"/>
      <c r="C65" s="17"/>
      <c r="D65" s="17"/>
      <c r="E65" s="55" t="s">
        <v>312</v>
      </c>
      <c r="F65" s="236">
        <f ca="1">IF(VINMAX&lt;=40,'MOSFET Database 24V'!C76,'MOSFET Database 48V'!C76)</f>
        <v>0.28000000000000003</v>
      </c>
      <c r="G65" s="236">
        <f ca="1">IF(VINMAX&lt;=40,'MOSFET Database 24V'!G76,'MOSFET Database 48V'!G76)</f>
        <v>0.31240000000000001</v>
      </c>
      <c r="H65" s="236">
        <f ca="1">'MOSFET Database 24V'!K76</f>
        <v>0.2</v>
      </c>
      <c r="I65" s="140" t="s">
        <v>87</v>
      </c>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85"/>
      <c r="AU65" s="229"/>
      <c r="BD65" t="str">
        <f>'MOSFET Database 24V'!BN4</f>
        <v>CSD18534Q5A</v>
      </c>
      <c r="BE65" t="str">
        <f>BD65&amp;" , "&amp;ROUND(BH65,2)&amp;" , $"&amp;BF65</f>
        <v>CSD18534Q5A , 0.16 , $0.326</v>
      </c>
      <c r="BF65" s="265">
        <f>'MOSFET Database 24V'!BO35</f>
        <v>0.32600000000000001</v>
      </c>
      <c r="BG65" s="3">
        <f>'MOSFET Database 24V'!BO33</f>
        <v>0.36749999999999999</v>
      </c>
      <c r="BH65" s="3">
        <f>'MOSFET Database 24V'!BO61</f>
        <v>0.15637793715451784</v>
      </c>
    </row>
    <row r="66" spans="1:60" ht="15" customHeight="1">
      <c r="A66" s="17"/>
      <c r="B66" s="338"/>
      <c r="C66" s="17"/>
      <c r="D66" s="17"/>
      <c r="E66" s="55" t="s">
        <v>252</v>
      </c>
      <c r="F66" s="236">
        <f ca="1">IF(VINMAX&lt;=40,'MOSFET Database 24V'!C78,'MOSFET Database 48V'!C78)</f>
        <v>93.4</v>
      </c>
      <c r="G66" s="236">
        <f ca="1">IF(VINMAX&lt;=40,'MOSFET Database 24V'!G78,'MOSFET Database 48V'!G78)</f>
        <v>94.372</v>
      </c>
      <c r="H66" s="236">
        <f ca="1">'MOSFET Database 24V'!K78</f>
        <v>91</v>
      </c>
      <c r="I66" s="140" t="s">
        <v>123</v>
      </c>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85"/>
      <c r="AU66" s="229"/>
      <c r="BD66" t="str">
        <f>'MOSFET Database 24V'!AL4</f>
        <v>CSD19502Q5B</v>
      </c>
      <c r="BE66" t="str">
        <f>BD66&amp;" , "&amp;ROUND(BH66,2)&amp;" , $"&amp;BF66</f>
        <v>CSD19502Q5B , 0.15 , $0.896</v>
      </c>
      <c r="BF66" s="265">
        <f>'MOSFET Database 24V'!AM35</f>
        <v>0.89600000000000002</v>
      </c>
      <c r="BG66" s="3">
        <f>'MOSFET Database 24V'!AM33</f>
        <v>0.26968888888888887</v>
      </c>
      <c r="BH66" s="3">
        <f>'MOSFET Database 24V'!AM61</f>
        <v>0.14559759461877445</v>
      </c>
    </row>
    <row r="67" spans="1:60" ht="15" customHeight="1">
      <c r="A67" s="17"/>
      <c r="B67" s="338"/>
      <c r="C67" s="17"/>
      <c r="D67" s="17"/>
      <c r="E67" s="55" t="s">
        <v>391</v>
      </c>
      <c r="F67" s="236">
        <f ca="1">IF(VINMAX&lt;=40,'MOSFET Database 24V'!C81,'MOSFET Database 48V'!C81)</f>
        <v>0.94158938686454563</v>
      </c>
      <c r="G67" s="236">
        <f ca="1">IF(VINMAX&lt;=40,'MOSFET Database 24V'!G81,'MOSFET Database 48V'!G81)</f>
        <v>0.36085711830782141</v>
      </c>
      <c r="H67" s="236">
        <f ca="1">'MOSFET Database 24V'!K81</f>
        <v>1.2207635255838569</v>
      </c>
      <c r="I67" s="20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85"/>
      <c r="AU67" s="230"/>
      <c r="BD67" t="str">
        <f>'MOSFET Database 24V'!Z4</f>
        <v>CSD18532Q5B</v>
      </c>
      <c r="BE67" t="str">
        <f>BD67&amp;" , "&amp;ROUND(BH67,2)&amp;" , $"&amp;BF67</f>
        <v>CSD18532Q5B , 0.14 , $0.845</v>
      </c>
      <c r="BF67" s="265">
        <f>'MOSFET Database 24V'!AA35</f>
        <v>0.84499999999999997</v>
      </c>
      <c r="BG67" s="3">
        <f>'MOSFET Database 24V'!AA33</f>
        <v>0.22613333333333333</v>
      </c>
      <c r="BH67" s="3">
        <f>'MOSFET Database 24V'!AA61</f>
        <v>0.13764864682471806</v>
      </c>
    </row>
    <row r="68" spans="1:60" ht="15" customHeight="1">
      <c r="A68" s="17"/>
      <c r="B68" s="338"/>
      <c r="C68" s="17"/>
      <c r="D68" s="17"/>
      <c r="E68" s="218" t="s">
        <v>518</v>
      </c>
      <c r="F68" s="235" t="str">
        <f ca="1">IF(VINMAX&lt;=40,HYPERLINK('MOSFET Database 24V'!C82,SFET24_1),HYPERLINK('MOSFET Database 48V'!C82,SFET48_1))</f>
        <v>CSD18535KTT</v>
      </c>
      <c r="G68" s="235" t="str">
        <f ca="1">IF(VINMAX&lt;=40,HYPERLINK('MOSFET Database 24V'!G82,SFET24_2),HYPERLINK('MOSFET Database 48V'!G82,SFET48_2))</f>
        <v>CSD18540Q5B</v>
      </c>
      <c r="H68" s="319" t="s">
        <v>670</v>
      </c>
      <c r="I68" s="20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85"/>
      <c r="AU68" s="231"/>
      <c r="BD68" t="str">
        <f>'MOSFET Database 24V'!AT4</f>
        <v>CSD18531Q5A</v>
      </c>
      <c r="BE68" t="str">
        <f>BD68&amp;" , "&amp;ROUND(BH68,2)&amp;" , $"&amp;BF68</f>
        <v>CSD18531Q5A , 0.12 , $0.589</v>
      </c>
      <c r="BF68" s="265">
        <f>'MOSFET Database 24V'!AU35</f>
        <v>0.58899999999999997</v>
      </c>
      <c r="BG68" s="3">
        <f>'MOSFET Database 24V'!AU33</f>
        <v>0.30871111111111105</v>
      </c>
      <c r="BH68" s="3">
        <f>'MOSFET Database 24V'!AU61</f>
        <v>0.11554947552686402</v>
      </c>
    </row>
    <row r="69" spans="1:60" ht="15" customHeight="1">
      <c r="A69" s="17"/>
      <c r="B69" s="203"/>
      <c r="C69" s="17"/>
      <c r="D69" s="17"/>
      <c r="E69" s="95" t="s">
        <v>519</v>
      </c>
      <c r="F69" s="266">
        <f ca="1">IF(VINMAX&lt;=40,'MOSFET Database 24V'!C84,'MOSFET Database 48V'!C84)</f>
        <v>1.266</v>
      </c>
      <c r="G69" s="266">
        <f ca="1">IF(VINMAX&lt;=40,'MOSFET Database 24V'!G84,'MOSFET Database 48V'!G84)</f>
        <v>0.86699999999999999</v>
      </c>
      <c r="H69" s="319" t="s">
        <v>671</v>
      </c>
      <c r="I69" s="207"/>
      <c r="J69" s="211"/>
      <c r="K69" s="326" t="s">
        <v>451</v>
      </c>
      <c r="L69" s="326"/>
      <c r="M69" s="326"/>
      <c r="N69" s="326"/>
      <c r="O69" s="326"/>
      <c r="P69" s="326"/>
      <c r="Q69" s="326"/>
      <c r="R69" s="326"/>
      <c r="S69" s="326"/>
      <c r="T69" s="326"/>
      <c r="U69" s="326"/>
      <c r="V69" s="326"/>
      <c r="W69" s="326"/>
      <c r="X69" s="326"/>
      <c r="Y69" s="326"/>
      <c r="Z69" s="326"/>
      <c r="AA69" s="326"/>
      <c r="AB69" s="326"/>
      <c r="AC69" s="326"/>
      <c r="AD69" s="326"/>
      <c r="AE69" s="326"/>
      <c r="AF69" s="326"/>
      <c r="AG69" s="326"/>
      <c r="AH69" s="326"/>
      <c r="AI69" s="326"/>
      <c r="AJ69" s="326"/>
      <c r="AK69" s="326"/>
      <c r="AL69" s="326"/>
      <c r="AM69" s="326"/>
      <c r="AN69" s="326"/>
      <c r="AO69" s="85"/>
      <c r="BD69" t="str">
        <f>'MOSFET Database 24V'!AX4</f>
        <v>CSD18533Q5A</v>
      </c>
      <c r="BE69" t="str">
        <f>BD69&amp;" , "&amp;ROUND(BH69,2)&amp;" , $"&amp;BF69</f>
        <v>CSD18533Q5A , 0.1 , $0.464</v>
      </c>
      <c r="BF69" s="265">
        <f>'MOSFET Database 24V'!AY35</f>
        <v>0.46400000000000002</v>
      </c>
      <c r="BG69" s="3">
        <f>'MOSFET Database 24V'!AY33</f>
        <v>0.39333333333333331</v>
      </c>
      <c r="BH69" s="3">
        <f>'MOSFET Database 24V'!AY61</f>
        <v>0.10117030650995876</v>
      </c>
    </row>
    <row r="70" spans="1:60" ht="15" customHeight="1" thickBot="1">
      <c r="A70" s="17"/>
      <c r="B70" s="254"/>
      <c r="C70" s="77"/>
      <c r="D70" s="77"/>
      <c r="E70" s="219" t="s">
        <v>520</v>
      </c>
      <c r="F70" s="267">
        <f ca="1">NUMFETS1*F69</f>
        <v>2.532</v>
      </c>
      <c r="G70" s="267">
        <f ca="1">G64*G69</f>
        <v>1.734</v>
      </c>
      <c r="H70" s="238"/>
      <c r="I70" s="213"/>
      <c r="J70" s="257"/>
      <c r="K70" s="327"/>
      <c r="L70" s="327"/>
      <c r="M70" s="327"/>
      <c r="N70" s="327"/>
      <c r="O70" s="327"/>
      <c r="P70" s="327"/>
      <c r="Q70" s="327"/>
      <c r="R70" s="327"/>
      <c r="S70" s="327"/>
      <c r="T70" s="327"/>
      <c r="U70" s="327"/>
      <c r="V70" s="327"/>
      <c r="W70" s="327"/>
      <c r="X70" s="327"/>
      <c r="Y70" s="327"/>
      <c r="Z70" s="327"/>
      <c r="AA70" s="327"/>
      <c r="AB70" s="327"/>
      <c r="AC70" s="327"/>
      <c r="AD70" s="327"/>
      <c r="AE70" s="327"/>
      <c r="AF70" s="327"/>
      <c r="AG70" s="327"/>
      <c r="AH70" s="327"/>
      <c r="AI70" s="327"/>
      <c r="AJ70" s="327"/>
      <c r="AK70" s="327"/>
      <c r="AL70" s="327"/>
      <c r="AM70" s="327"/>
      <c r="AN70" s="327"/>
      <c r="AO70" s="89"/>
      <c r="BD70" t="str">
        <f>'MOSFET Database 24V'!BV4</f>
        <v>CSD18537NQ5A</v>
      </c>
      <c r="BE70" t="str">
        <f>BD70&amp;" , "&amp;ROUND(BH70,2)&amp;" , $"&amp;BF70</f>
        <v>CSD18537NQ5A , 0.1 , $0.273</v>
      </c>
      <c r="BF70" s="265">
        <f>'MOSFET Database 24V'!BW35</f>
        <v>0.27300000000000002</v>
      </c>
      <c r="BG70" s="3">
        <f>'MOSFET Database 24V'!BW33</f>
        <v>0.32863999999999999</v>
      </c>
      <c r="BH70" s="3">
        <f>'MOSFET Database 24V'!BW61</f>
        <v>9.5291973451009815E-2</v>
      </c>
    </row>
    <row r="71" spans="1:60">
      <c r="A71" s="17"/>
      <c r="B71" s="203"/>
      <c r="C71" s="17"/>
      <c r="D71" s="17"/>
      <c r="E71" s="136"/>
      <c r="F71" s="255"/>
      <c r="G71" s="151"/>
      <c r="H71" s="255"/>
      <c r="I71" s="151"/>
      <c r="J71" s="17"/>
      <c r="K71" s="251"/>
      <c r="L71" s="251"/>
      <c r="M71" s="251"/>
      <c r="N71" s="251"/>
      <c r="O71" s="251"/>
      <c r="P71" s="251"/>
      <c r="Q71" s="251"/>
      <c r="R71" s="251"/>
      <c r="S71" s="251"/>
      <c r="T71" s="251"/>
      <c r="U71" s="251"/>
      <c r="V71" s="251"/>
      <c r="W71" s="251"/>
      <c r="X71" s="251"/>
      <c r="Y71" s="251"/>
      <c r="Z71" s="251"/>
      <c r="AA71" s="251"/>
      <c r="AB71" s="251"/>
      <c r="AC71" s="251"/>
      <c r="AD71" s="251"/>
      <c r="AE71" s="251"/>
      <c r="AF71" s="251"/>
      <c r="AG71" s="251"/>
      <c r="AH71" s="251"/>
      <c r="AI71" s="251"/>
      <c r="AJ71" s="251"/>
      <c r="AK71" s="251"/>
      <c r="AL71" s="251"/>
      <c r="AM71" s="251"/>
      <c r="AN71" s="252"/>
      <c r="AO71" s="282"/>
      <c r="BD71" t="str">
        <f>'MOSFET Database 24V'!BR4</f>
        <v>CSD18543Q3A</v>
      </c>
      <c r="BE71" t="str">
        <f>BD71&amp;" , "&amp;ROUND(BH71,2)&amp;" , $"&amp;BF71</f>
        <v>CSD18543Q3A , 0.06 , $0.258</v>
      </c>
      <c r="BF71" s="265">
        <f>'MOSFET Database 24V'!BS35</f>
        <v>0.25800000000000001</v>
      </c>
      <c r="BG71" s="3">
        <f>'MOSFET Database 24V'!BS33</f>
        <v>0.36135</v>
      </c>
      <c r="BH71" s="3">
        <f>'MOSFET Database 24V'!BS61</f>
        <v>6.2606130733603327E-2</v>
      </c>
    </row>
    <row r="72" spans="1:60">
      <c r="A72" s="17"/>
      <c r="B72" s="203"/>
      <c r="C72" s="17"/>
      <c r="D72" s="17"/>
      <c r="E72" s="136"/>
      <c r="F72" s="299" t="s">
        <v>646</v>
      </c>
      <c r="G72" s="151"/>
      <c r="H72" s="151"/>
      <c r="I72" s="151"/>
      <c r="J72" s="17"/>
      <c r="K72" s="251"/>
      <c r="L72" s="251"/>
      <c r="M72" s="251"/>
      <c r="N72" s="251"/>
      <c r="O72" s="251"/>
      <c r="P72" s="251"/>
      <c r="Q72" s="251"/>
      <c r="R72" s="251"/>
      <c r="S72" s="251"/>
      <c r="T72" s="251"/>
      <c r="U72" s="251"/>
      <c r="V72" s="251"/>
      <c r="W72" s="251"/>
      <c r="X72" s="251"/>
      <c r="Y72" s="251"/>
      <c r="Z72" s="251"/>
      <c r="AA72" s="251"/>
      <c r="AB72" s="251"/>
      <c r="AC72" s="251"/>
      <c r="AD72" s="251"/>
      <c r="AE72" s="251"/>
      <c r="AF72" s="251"/>
      <c r="AG72" s="251"/>
      <c r="AH72" s="251"/>
      <c r="AI72" s="251"/>
      <c r="AJ72" s="251"/>
      <c r="AK72" s="251"/>
      <c r="AL72" s="251"/>
      <c r="AM72" s="251"/>
      <c r="AN72" s="252"/>
      <c r="AO72" s="122"/>
    </row>
    <row r="73" spans="1:60">
      <c r="A73" s="17"/>
      <c r="B73" s="203"/>
      <c r="C73" s="17"/>
      <c r="D73" s="17"/>
      <c r="E73" s="136"/>
      <c r="F73" s="299" t="s">
        <v>645</v>
      </c>
      <c r="G73" s="151"/>
      <c r="H73" s="151"/>
      <c r="I73" s="151"/>
      <c r="J73" s="17"/>
      <c r="K73" s="251"/>
      <c r="L73" s="251"/>
      <c r="M73" s="251"/>
      <c r="N73" s="251"/>
      <c r="O73" s="251"/>
      <c r="P73" s="251"/>
      <c r="Q73" s="251"/>
      <c r="R73" s="251"/>
      <c r="S73" s="251"/>
      <c r="T73" s="251"/>
      <c r="U73" s="251"/>
      <c r="V73" s="251"/>
      <c r="W73" s="251"/>
      <c r="X73" s="251"/>
      <c r="Y73" s="251"/>
      <c r="Z73" s="251"/>
      <c r="AA73" s="251"/>
      <c r="AB73" s="251"/>
      <c r="AC73" s="251"/>
      <c r="AD73" s="251"/>
      <c r="AE73" s="251"/>
      <c r="AF73" s="251"/>
      <c r="AG73" s="251"/>
      <c r="AH73" s="251"/>
      <c r="AI73" s="251"/>
      <c r="AJ73" s="251"/>
      <c r="AK73" s="251"/>
      <c r="AL73" s="251"/>
      <c r="AM73" s="251"/>
      <c r="AN73" s="28"/>
      <c r="AO73" s="122"/>
    </row>
    <row r="74" spans="1:60" ht="14" thickBot="1">
      <c r="A74" s="17"/>
      <c r="B74" s="203"/>
      <c r="C74" s="17"/>
      <c r="D74" s="17"/>
      <c r="E74" s="136"/>
      <c r="F74" s="256"/>
      <c r="G74" s="151"/>
      <c r="H74" s="256"/>
      <c r="I74" s="151"/>
      <c r="J74" s="17"/>
      <c r="K74" s="251"/>
      <c r="L74" s="251"/>
      <c r="M74" s="251"/>
      <c r="N74" s="251"/>
      <c r="O74" s="251"/>
      <c r="P74" s="251"/>
      <c r="Q74" s="251"/>
      <c r="R74" s="251"/>
      <c r="S74" s="251"/>
      <c r="T74" s="251"/>
      <c r="U74" s="251"/>
      <c r="V74" s="251"/>
      <c r="W74" s="251"/>
      <c r="X74" s="251"/>
      <c r="Y74" s="251"/>
      <c r="Z74" s="251"/>
      <c r="AA74" s="251"/>
      <c r="AB74" s="251"/>
      <c r="AC74" s="251"/>
      <c r="AD74" s="251"/>
      <c r="AE74" s="251"/>
      <c r="AF74" s="251"/>
      <c r="AG74" s="251"/>
      <c r="AH74" s="251"/>
      <c r="AI74" s="251"/>
      <c r="AJ74" s="251"/>
      <c r="AK74" s="251"/>
      <c r="AL74" s="251"/>
      <c r="AM74" s="251"/>
      <c r="AN74" s="28"/>
      <c r="AO74" s="283"/>
    </row>
    <row r="75" spans="1:60" ht="14">
      <c r="A75" s="17"/>
      <c r="B75" s="121" t="s">
        <v>128</v>
      </c>
      <c r="C75" s="72"/>
      <c r="D75" s="315"/>
      <c r="E75" s="316" t="s">
        <v>610</v>
      </c>
      <c r="F75" s="264" t="s">
        <v>644</v>
      </c>
      <c r="G75" s="227"/>
      <c r="H75" s="255"/>
      <c r="I75" s="255"/>
      <c r="J75" s="72"/>
      <c r="K75" s="72"/>
      <c r="L75" s="72"/>
      <c r="M75" s="72"/>
      <c r="N75" s="72"/>
      <c r="O75" s="72"/>
      <c r="P75" s="72"/>
      <c r="Q75" s="72"/>
      <c r="R75" s="72"/>
      <c r="S75" s="72"/>
      <c r="T75" s="72"/>
      <c r="U75" s="72"/>
      <c r="V75" s="72"/>
      <c r="W75" s="72"/>
      <c r="X75" s="72"/>
      <c r="Y75" s="72"/>
      <c r="Z75" s="72"/>
      <c r="AA75" s="72"/>
      <c r="AB75" s="72"/>
      <c r="AC75" s="72"/>
      <c r="AD75" s="72"/>
      <c r="AE75" s="72"/>
      <c r="AF75" s="72"/>
      <c r="AG75" s="72"/>
      <c r="AH75" s="72"/>
      <c r="AI75" s="72"/>
      <c r="AJ75" s="72"/>
      <c r="AK75" s="72"/>
      <c r="AL75" s="72"/>
      <c r="AM75" s="72"/>
      <c r="AN75" s="72"/>
      <c r="AO75" s="101"/>
      <c r="AP75" s="25"/>
    </row>
    <row r="76" spans="1:60">
      <c r="A76" s="17"/>
      <c r="B76" s="79"/>
      <c r="C76" s="17"/>
      <c r="D76" s="17"/>
      <c r="E76" s="28"/>
      <c r="F76" s="28"/>
      <c r="G76" s="207"/>
      <c r="H76" s="151"/>
      <c r="I76" s="151"/>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85"/>
      <c r="AP76" s="25"/>
    </row>
    <row r="77" spans="1:60" ht="13.25" customHeight="1">
      <c r="A77" s="17"/>
      <c r="B77" s="75"/>
      <c r="C77" s="17"/>
      <c r="D77" s="17"/>
      <c r="E77" s="28"/>
      <c r="F77" s="28"/>
      <c r="G77" s="207"/>
      <c r="H77" s="151"/>
      <c r="I77" s="151"/>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85"/>
    </row>
    <row r="78" spans="1:60" ht="12.75" customHeight="1">
      <c r="A78" s="17"/>
      <c r="B78" s="75"/>
      <c r="C78" s="17"/>
      <c r="D78" s="17"/>
      <c r="E78" s="253" t="s">
        <v>611</v>
      </c>
      <c r="F78" s="28"/>
      <c r="G78" s="207"/>
      <c r="H78" s="151"/>
      <c r="I78" s="151"/>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85"/>
    </row>
    <row r="79" spans="1:60" ht="15" customHeight="1">
      <c r="A79" s="17"/>
      <c r="B79" s="75"/>
      <c r="C79" s="17"/>
      <c r="D79" s="17"/>
      <c r="E79" s="137" t="s">
        <v>291</v>
      </c>
      <c r="F79" s="118">
        <f>IF(F75=F54,Start_up!M2,IF(F75=G54,Start_up!M121,IF(F75=H54,Start_up!M240)))</f>
        <v>206.24999999999977</v>
      </c>
      <c r="G79" s="222" t="s">
        <v>8</v>
      </c>
      <c r="H79" s="278"/>
      <c r="I79" s="278"/>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85"/>
    </row>
    <row r="80" spans="1:60" ht="15" customHeight="1">
      <c r="A80" s="17"/>
      <c r="B80" s="75"/>
      <c r="C80" s="17"/>
      <c r="D80" s="17"/>
      <c r="E80" s="137" t="s">
        <v>298</v>
      </c>
      <c r="F80" s="276">
        <f>IF(F75=F54,Start_up!O2,IF(F75=G54,Start_up!O121,IF(F75=H54,Start_up!O240)))</f>
        <v>0.61538461538461542</v>
      </c>
      <c r="G80" s="222"/>
      <c r="H80" s="278"/>
      <c r="I80" s="278"/>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85"/>
    </row>
    <row r="81" spans="1:41" ht="15" customHeight="1">
      <c r="A81" s="17"/>
      <c r="B81" s="79"/>
      <c r="C81" s="17"/>
      <c r="D81" s="28"/>
      <c r="E81" s="137" t="s">
        <v>292</v>
      </c>
      <c r="F81" s="118">
        <f>IF(F75=F54,Equations!F58,IF(F75=G54,Equations!G58,IF(F75=H54,Equations!H58)))</f>
        <v>309.37499999999966</v>
      </c>
      <c r="G81" s="277" t="s">
        <v>8</v>
      </c>
      <c r="H81" s="279"/>
      <c r="I81" s="279"/>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85"/>
    </row>
    <row r="82" spans="1:41" ht="15" customHeight="1">
      <c r="A82" s="17"/>
      <c r="B82" s="75"/>
      <c r="C82" s="17"/>
      <c r="D82" s="28"/>
      <c r="E82" s="137" t="s">
        <v>296</v>
      </c>
      <c r="F82" s="118">
        <f>IF(F75=F54,Equations!F59,IF(F75=G54,Equations!G59,IF(F75=H54,Equations!H59)))</f>
        <v>6574.2187499999927</v>
      </c>
      <c r="G82" s="222" t="s">
        <v>118</v>
      </c>
      <c r="H82" s="278"/>
      <c r="I82" s="278"/>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85"/>
    </row>
    <row r="83" spans="1:41" ht="15" customHeight="1">
      <c r="A83" s="17"/>
      <c r="B83" s="75"/>
      <c r="C83" s="17"/>
      <c r="D83" s="28"/>
      <c r="E83" s="137" t="s">
        <v>299</v>
      </c>
      <c r="F83" s="156">
        <v>600</v>
      </c>
      <c r="G83" s="222" t="s">
        <v>118</v>
      </c>
      <c r="H83" s="278"/>
      <c r="I83" s="278"/>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85"/>
    </row>
    <row r="84" spans="1:41" ht="15" customHeight="1">
      <c r="A84" s="17"/>
      <c r="B84" s="75"/>
      <c r="C84" s="17"/>
      <c r="D84" s="28"/>
      <c r="E84" s="137" t="s">
        <v>351</v>
      </c>
      <c r="F84" s="118">
        <f>IF(F75=F54,Equations!F61,IF(F75=G54,Equations!G61,IF(F75=H54,Equations!H61)))</f>
        <v>28.235294117647058</v>
      </c>
      <c r="G84" s="222" t="s">
        <v>8</v>
      </c>
      <c r="H84" s="278"/>
      <c r="I84" s="278"/>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85"/>
    </row>
    <row r="85" spans="1:41" ht="15" customHeight="1">
      <c r="A85" s="17"/>
      <c r="B85" s="204"/>
      <c r="C85" s="17"/>
      <c r="D85" s="28"/>
      <c r="E85" s="137" t="s">
        <v>307</v>
      </c>
      <c r="F85" s="118">
        <f ca="1">_xlfn.SWITCH(F75,F54,Equations!F62,G54,Equations!G62,H54,Equations!H62)</f>
        <v>7.708939858174424</v>
      </c>
      <c r="G85" s="222"/>
      <c r="H85" s="278"/>
      <c r="I85" s="278"/>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85"/>
    </row>
    <row r="86" spans="1:41" ht="15" customHeight="1">
      <c r="A86" s="17"/>
      <c r="B86" s="75"/>
      <c r="C86" s="17"/>
      <c r="D86" s="28"/>
      <c r="E86" s="137" t="s">
        <v>355</v>
      </c>
      <c r="F86" s="155" t="s">
        <v>186</v>
      </c>
      <c r="G86" s="140"/>
      <c r="H86" s="278"/>
      <c r="I86" s="278"/>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85"/>
    </row>
    <row r="87" spans="1:41" ht="15" customHeight="1">
      <c r="A87" s="17"/>
      <c r="B87" s="75"/>
      <c r="C87" s="17"/>
      <c r="D87" s="28"/>
      <c r="E87" s="137" t="s">
        <v>360</v>
      </c>
      <c r="F87" s="45">
        <f ca="1">_xlfn.SWITCH(F75,F54,dv_dt_recommendations!J28,G54,dv_dt_recommendations!J73,H54,dv_dt_recommendations!J118)</f>
        <v>1.1912415855928926</v>
      </c>
      <c r="G87" s="140" t="s">
        <v>315</v>
      </c>
      <c r="H87" s="149"/>
      <c r="I87" s="149"/>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85"/>
    </row>
    <row r="88" spans="1:41" ht="15" customHeight="1">
      <c r="A88" s="17"/>
      <c r="B88" s="75"/>
      <c r="C88" s="17"/>
      <c r="D88" s="28"/>
      <c r="E88" s="137" t="s">
        <v>361</v>
      </c>
      <c r="F88" s="45">
        <f ca="1">_xlfn.SWITCH(F75,F54,dv_dt_recommendations!J29,G54,dv_dt_recommendations!J74,H54,dv_dt_recommendations!J119)</f>
        <v>0.10708559822108767</v>
      </c>
      <c r="G88" s="140" t="s">
        <v>315</v>
      </c>
      <c r="H88" s="149"/>
      <c r="I88" s="149"/>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85"/>
    </row>
    <row r="89" spans="1:41" ht="17" customHeight="1">
      <c r="A89" s="17"/>
      <c r="B89" s="337" t="s">
        <v>444</v>
      </c>
      <c r="C89" s="17"/>
      <c r="D89" s="28"/>
      <c r="E89" s="137" t="s">
        <v>349</v>
      </c>
      <c r="F89" s="156">
        <v>0.12</v>
      </c>
      <c r="G89" s="140" t="s">
        <v>315</v>
      </c>
      <c r="H89" s="149"/>
      <c r="I89" s="149"/>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85"/>
    </row>
    <row r="90" spans="1:41" ht="17" customHeight="1">
      <c r="A90" s="17"/>
      <c r="B90" s="337"/>
      <c r="C90" s="17"/>
      <c r="D90" s="28"/>
      <c r="E90" s="137" t="s">
        <v>338</v>
      </c>
      <c r="F90" s="45">
        <f>_xlfn.SWITCH(F75,F54,Equations!F66,G54,Equations!G66,H54,Equations!H66)</f>
        <v>133.33333333333334</v>
      </c>
      <c r="G90" s="138" t="s">
        <v>118</v>
      </c>
      <c r="H90" s="281"/>
      <c r="I90" s="281"/>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85"/>
    </row>
    <row r="91" spans="1:41" ht="17" customHeight="1">
      <c r="A91" s="17"/>
      <c r="B91" s="337"/>
      <c r="C91" s="317"/>
      <c r="D91" s="28"/>
      <c r="E91" s="137" t="s">
        <v>339</v>
      </c>
      <c r="F91" s="156">
        <v>150</v>
      </c>
      <c r="G91" s="140" t="s">
        <v>118</v>
      </c>
      <c r="H91" s="149"/>
      <c r="I91" s="149"/>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85"/>
    </row>
    <row r="92" spans="1:41" ht="17" customHeight="1">
      <c r="A92" s="17"/>
      <c r="B92" s="337"/>
      <c r="C92" s="317"/>
      <c r="D92" s="28"/>
      <c r="E92" s="137" t="s">
        <v>433</v>
      </c>
      <c r="F92" s="45">
        <f>_xlfn.SWITCH(F75,F54,Equations!F68,G54,Equations!G68,H54,Equations!H68)</f>
        <v>0.10666666666666667</v>
      </c>
      <c r="G92" s="140" t="s">
        <v>315</v>
      </c>
      <c r="H92" s="149"/>
      <c r="I92" s="149"/>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85"/>
    </row>
    <row r="93" spans="1:41" ht="15" customHeight="1">
      <c r="A93" s="17"/>
      <c r="B93" s="337"/>
      <c r="C93" s="317"/>
      <c r="D93" s="28"/>
      <c r="E93" s="137" t="s">
        <v>344</v>
      </c>
      <c r="F93" s="45">
        <f ca="1">_xlfn.SWITCH(F75,F54,Equations!F75,G54,Equations!G75,H54,Equations!H75)</f>
        <v>8.8086930320193009</v>
      </c>
      <c r="G93" s="140"/>
      <c r="H93" s="149"/>
      <c r="I93" s="149"/>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85"/>
    </row>
    <row r="94" spans="1:41" ht="15" customHeight="1">
      <c r="A94" s="17"/>
      <c r="B94" s="337"/>
      <c r="C94" s="317"/>
      <c r="D94" s="28"/>
      <c r="E94" s="137" t="s">
        <v>341</v>
      </c>
      <c r="F94" s="301">
        <f>F31</f>
        <v>300</v>
      </c>
      <c r="G94" s="140" t="s">
        <v>8</v>
      </c>
      <c r="H94" s="149"/>
      <c r="I94" s="149"/>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85"/>
    </row>
    <row r="95" spans="1:41" ht="14.5" customHeight="1">
      <c r="A95" s="17"/>
      <c r="B95" s="337"/>
      <c r="C95" s="317"/>
      <c r="D95" s="28"/>
      <c r="E95" s="137" t="s">
        <v>342</v>
      </c>
      <c r="F95" s="45">
        <f>_xlfn.SWITCH(F75,F54,Equations!F80,G54,Equations!G80,H54,Equations!H80)</f>
        <v>6375</v>
      </c>
      <c r="G95" s="140" t="s">
        <v>118</v>
      </c>
      <c r="H95" s="149"/>
      <c r="I95" s="149"/>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85"/>
    </row>
    <row r="96" spans="1:41" ht="15" customHeight="1">
      <c r="A96" s="17"/>
      <c r="B96" s="75"/>
      <c r="C96" s="17"/>
      <c r="D96" s="28"/>
      <c r="E96" s="137" t="s">
        <v>346</v>
      </c>
      <c r="F96" s="156">
        <v>6800</v>
      </c>
      <c r="G96" s="140" t="s">
        <v>118</v>
      </c>
      <c r="H96" s="149"/>
      <c r="I96" s="149"/>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85"/>
    </row>
    <row r="97" spans="1:42" ht="15" customHeight="1">
      <c r="A97" s="17"/>
      <c r="B97" s="75"/>
      <c r="C97" s="17"/>
      <c r="D97" s="28"/>
      <c r="E97" s="137" t="s">
        <v>348</v>
      </c>
      <c r="F97" s="45">
        <f>_xlfn.SWITCH(F75,F54,Equations!F82,G54,Equations!G82,H54,Equations!H82)</f>
        <v>320</v>
      </c>
      <c r="G97" s="140" t="s">
        <v>8</v>
      </c>
      <c r="H97" s="149"/>
      <c r="I97" s="149"/>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90" t="s">
        <v>249</v>
      </c>
      <c r="AP97" s="25" t="s">
        <v>19</v>
      </c>
    </row>
    <row r="98" spans="1:42" ht="15" customHeight="1">
      <c r="A98" s="17"/>
      <c r="B98" s="75"/>
      <c r="C98" s="17"/>
      <c r="D98" s="28"/>
      <c r="E98" s="137" t="s">
        <v>352</v>
      </c>
      <c r="F98" s="45">
        <f>_xlfn.SWITCH(F75,F54,Equations!F84,G54,Equations!G84,H54,Equations!H84)</f>
        <v>13.765964032454326</v>
      </c>
      <c r="G98" s="141"/>
      <c r="H98" s="280"/>
      <c r="I98" s="280"/>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90"/>
      <c r="AP98" s="25" t="s">
        <v>20</v>
      </c>
    </row>
    <row r="99" spans="1:42" ht="15" customHeight="1">
      <c r="A99" s="17"/>
      <c r="B99" s="75"/>
      <c r="C99" s="17"/>
      <c r="D99" s="28"/>
      <c r="E99" s="137" t="s">
        <v>188</v>
      </c>
      <c r="F99" s="52">
        <f>_xlfn.SWITCH(F75,F54,Equations!F111,G54,Equations!G111,H54,Equations!H111)</f>
        <v>4945.454545454545</v>
      </c>
      <c r="G99" s="141" t="s">
        <v>8</v>
      </c>
      <c r="H99" s="280"/>
      <c r="I99" s="280"/>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85"/>
      <c r="AP99" t="s">
        <v>409</v>
      </c>
    </row>
    <row r="100" spans="1:42" ht="15" customHeight="1" thickBot="1">
      <c r="A100" s="17"/>
      <c r="B100" s="75"/>
      <c r="C100" s="17"/>
      <c r="D100" s="28"/>
      <c r="E100" s="137" t="s">
        <v>91</v>
      </c>
      <c r="F100" s="45">
        <f>_xlfn.SWITCH(F75,F54,Equations!F114,G54,Equations!G114,H54,Equations!H114)</f>
        <v>63964.000000000007</v>
      </c>
      <c r="G100" s="140" t="s">
        <v>8</v>
      </c>
      <c r="H100" s="149"/>
      <c r="I100" s="149"/>
      <c r="J100" s="102"/>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85"/>
      <c r="AP100" t="s">
        <v>410</v>
      </c>
    </row>
    <row r="101" spans="1:42" ht="15" customHeight="1">
      <c r="A101" s="17"/>
      <c r="B101" s="121" t="s">
        <v>202</v>
      </c>
      <c r="C101" s="114"/>
      <c r="D101" s="72"/>
      <c r="E101" s="84" t="s">
        <v>21</v>
      </c>
      <c r="F101" s="157" t="s">
        <v>20</v>
      </c>
      <c r="G101" s="145"/>
      <c r="H101" s="284"/>
      <c r="I101" s="284"/>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c r="AJ101" s="72"/>
      <c r="AK101" s="72"/>
      <c r="AL101" s="72"/>
      <c r="AM101" s="72"/>
      <c r="AN101" s="72"/>
      <c r="AO101" s="101"/>
    </row>
    <row r="102" spans="1:42" ht="15" customHeight="1">
      <c r="A102" s="17"/>
      <c r="B102" s="75"/>
      <c r="C102" s="17"/>
      <c r="D102" s="17"/>
      <c r="E102" s="55" t="s">
        <v>92</v>
      </c>
      <c r="F102" s="156">
        <v>16</v>
      </c>
      <c r="G102" s="146" t="s">
        <v>86</v>
      </c>
      <c r="H102" s="149"/>
      <c r="I102" s="149"/>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85"/>
    </row>
    <row r="103" spans="1:42" ht="15" customHeight="1">
      <c r="A103" s="17"/>
      <c r="B103" s="75"/>
      <c r="C103" s="17"/>
      <c r="D103" s="17"/>
      <c r="E103" s="55" t="s">
        <v>93</v>
      </c>
      <c r="F103" s="156">
        <v>15</v>
      </c>
      <c r="G103" s="146" t="s">
        <v>86</v>
      </c>
      <c r="H103" s="149"/>
      <c r="I103" s="149"/>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85"/>
    </row>
    <row r="104" spans="1:42" ht="15" customHeight="1">
      <c r="A104" s="17"/>
      <c r="B104" s="75"/>
      <c r="C104" s="17"/>
      <c r="D104" s="17"/>
      <c r="E104" s="55" t="s">
        <v>102</v>
      </c>
      <c r="F104" s="156">
        <v>21.5</v>
      </c>
      <c r="G104" s="146" t="s">
        <v>86</v>
      </c>
      <c r="H104" s="149"/>
      <c r="I104" s="149"/>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85"/>
    </row>
    <row r="105" spans="1:42" ht="15" customHeight="1">
      <c r="A105" s="17"/>
      <c r="B105" s="75"/>
      <c r="C105" s="17"/>
      <c r="D105" s="17"/>
      <c r="E105" s="95" t="s">
        <v>94</v>
      </c>
      <c r="F105" s="156">
        <v>21</v>
      </c>
      <c r="G105" s="146" t="s">
        <v>86</v>
      </c>
      <c r="H105" s="149"/>
      <c r="I105" s="149"/>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85"/>
    </row>
    <row r="106" spans="1:42" ht="15" customHeight="1">
      <c r="A106" s="17"/>
      <c r="B106" s="75"/>
      <c r="C106" s="17"/>
      <c r="D106" s="17"/>
      <c r="E106" s="94" t="s">
        <v>246</v>
      </c>
      <c r="F106" s="50">
        <f>IF(F101="Option A",Equations!F132,Equations!G132)</f>
        <v>47.61904761904762</v>
      </c>
      <c r="G106" s="147" t="s">
        <v>84</v>
      </c>
      <c r="H106" s="261"/>
      <c r="I106" s="261"/>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85"/>
    </row>
    <row r="107" spans="1:42" ht="15" customHeight="1">
      <c r="A107" s="17"/>
      <c r="B107" s="75"/>
      <c r="C107" s="17"/>
      <c r="D107" s="17"/>
      <c r="E107" s="93" t="s">
        <v>22</v>
      </c>
      <c r="F107" s="50">
        <f>IF(F101="Option A",Equations!F133,Equations!G133)</f>
        <v>9.5238095238095237</v>
      </c>
      <c r="G107" s="147" t="s">
        <v>84</v>
      </c>
      <c r="H107" s="261"/>
      <c r="I107" s="261"/>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85"/>
    </row>
    <row r="108" spans="1:42" ht="15" customHeight="1">
      <c r="A108" s="17"/>
      <c r="B108" s="271"/>
      <c r="C108" s="17"/>
      <c r="D108" s="17"/>
      <c r="E108" s="93" t="s">
        <v>23</v>
      </c>
      <c r="F108" s="50">
        <f>IF(F101="Option A",Equations!F134,Equations!G134)</f>
        <v>23.80952380952381</v>
      </c>
      <c r="G108" s="147" t="s">
        <v>84</v>
      </c>
      <c r="H108" s="261"/>
      <c r="I108" s="261"/>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85"/>
    </row>
    <row r="109" spans="1:42" ht="15" customHeight="1">
      <c r="A109" s="17"/>
      <c r="B109" s="75"/>
      <c r="C109" s="17"/>
      <c r="D109" s="17"/>
      <c r="E109" s="93" t="s">
        <v>24</v>
      </c>
      <c r="F109" s="50">
        <f>IF(F101="Option A",Equations!F135,Equations!G135)</f>
        <v>3.1328320802005014</v>
      </c>
      <c r="G109" s="146" t="s">
        <v>84</v>
      </c>
      <c r="H109" s="149"/>
      <c r="I109" s="149"/>
      <c r="J109" s="17"/>
      <c r="K109" s="17"/>
      <c r="L109" s="88"/>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85"/>
    </row>
    <row r="110" spans="1:42" ht="15" customHeight="1">
      <c r="A110" s="17"/>
      <c r="B110" s="75"/>
      <c r="C110" s="17"/>
      <c r="D110" s="17"/>
      <c r="E110" s="55" t="s">
        <v>105</v>
      </c>
      <c r="F110" s="156">
        <v>47.62</v>
      </c>
      <c r="G110" s="147" t="s">
        <v>84</v>
      </c>
      <c r="H110" s="261"/>
      <c r="I110" s="261"/>
      <c r="J110" s="17"/>
      <c r="K110" s="17"/>
      <c r="L110" s="88"/>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85"/>
    </row>
    <row r="111" spans="1:42" ht="15" customHeight="1">
      <c r="A111" s="17"/>
      <c r="B111" s="75"/>
      <c r="C111" s="17"/>
      <c r="D111" s="17"/>
      <c r="E111" s="55" t="s">
        <v>106</v>
      </c>
      <c r="F111" s="156">
        <v>9.5</v>
      </c>
      <c r="G111" s="147" t="s">
        <v>84</v>
      </c>
      <c r="H111" s="261"/>
      <c r="I111" s="261"/>
      <c r="J111" s="17"/>
      <c r="K111" s="17"/>
      <c r="L111" s="88"/>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85"/>
    </row>
    <row r="112" spans="1:42" ht="15" customHeight="1">
      <c r="A112" s="17"/>
      <c r="B112" s="75"/>
      <c r="C112" s="17"/>
      <c r="D112" s="17"/>
      <c r="E112" s="55" t="s">
        <v>107</v>
      </c>
      <c r="F112" s="156">
        <v>24.6</v>
      </c>
      <c r="G112" s="147" t="s">
        <v>84</v>
      </c>
      <c r="H112" s="261"/>
      <c r="I112" s="261"/>
      <c r="J112" s="17"/>
      <c r="K112" s="17"/>
      <c r="L112" s="88"/>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85"/>
    </row>
    <row r="113" spans="1:41" ht="15" customHeight="1">
      <c r="A113" s="17"/>
      <c r="B113" s="75"/>
      <c r="C113" s="17"/>
      <c r="D113" s="17"/>
      <c r="E113" s="55" t="s">
        <v>108</v>
      </c>
      <c r="F113" s="156">
        <v>3</v>
      </c>
      <c r="G113" s="147" t="s">
        <v>84</v>
      </c>
      <c r="H113" s="261"/>
      <c r="I113" s="261"/>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85"/>
    </row>
    <row r="114" spans="1:41" ht="15" customHeight="1">
      <c r="A114" s="17"/>
      <c r="B114" s="75"/>
      <c r="C114" s="17"/>
      <c r="D114" s="17"/>
      <c r="E114" s="17"/>
      <c r="F114" s="17"/>
      <c r="G114" s="148"/>
      <c r="H114" s="18"/>
      <c r="I114" s="18"/>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85"/>
    </row>
    <row r="115" spans="1:41" ht="15" customHeight="1" thickBot="1">
      <c r="A115" s="17"/>
      <c r="B115" s="75"/>
      <c r="C115" s="86" t="s">
        <v>54</v>
      </c>
      <c r="D115" s="87" t="s">
        <v>35</v>
      </c>
      <c r="E115" s="87" t="s">
        <v>36</v>
      </c>
      <c r="F115" s="87" t="s">
        <v>37</v>
      </c>
      <c r="G115" s="148"/>
      <c r="H115" s="18"/>
      <c r="I115" s="18"/>
      <c r="J115" s="28"/>
      <c r="K115" s="28"/>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85"/>
    </row>
    <row r="116" spans="1:41" ht="15" customHeight="1">
      <c r="A116" s="17"/>
      <c r="B116" s="75"/>
      <c r="C116" s="29" t="s">
        <v>95</v>
      </c>
      <c r="D116" s="41">
        <f>IF($F$101="Option A",Equations!F136,Equations!G136)</f>
        <v>15.302387368421055</v>
      </c>
      <c r="E116" s="42">
        <f>IF($F$101="Option A",Equations!F137,Equations!G137)</f>
        <v>16.031598947368423</v>
      </c>
      <c r="F116" s="43">
        <f>IF($F$101="Option A",Equations!F138,Equations!G138)</f>
        <v>16.760810526315787</v>
      </c>
      <c r="G116" s="146" t="s">
        <v>86</v>
      </c>
      <c r="H116" s="149"/>
      <c r="I116" s="149"/>
      <c r="J116" s="28"/>
      <c r="K116" s="28"/>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85"/>
    </row>
    <row r="117" spans="1:41" ht="15" customHeight="1">
      <c r="A117" s="17"/>
      <c r="B117" s="75"/>
      <c r="C117" s="29" t="s">
        <v>96</v>
      </c>
      <c r="D117" s="44">
        <f>IF($F$101="Option A",Equations!F139,Equations!G139)</f>
        <v>14.730947368421054</v>
      </c>
      <c r="E117" s="45">
        <f>IF($F$101="Option A",Equations!F140,Equations!G140)</f>
        <v>15.03157894736842</v>
      </c>
      <c r="F117" s="46">
        <f>IF($F$101="Option A",Equations!F141,Equations!G141)</f>
        <v>15.332210526315787</v>
      </c>
      <c r="G117" s="146" t="s">
        <v>86</v>
      </c>
      <c r="H117" s="149"/>
      <c r="I117" s="149"/>
      <c r="J117" s="28"/>
      <c r="K117" s="28"/>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85"/>
    </row>
    <row r="118" spans="1:41" ht="15" customHeight="1">
      <c r="A118" s="17"/>
      <c r="B118" s="75"/>
      <c r="C118" s="29" t="s">
        <v>97</v>
      </c>
      <c r="D118" s="44">
        <f>IF($F$101="Option A",Equations!F142,Equations!G142)</f>
        <v>22.540000000000003</v>
      </c>
      <c r="E118" s="45">
        <f>IF($F$101="Option A",Equations!F143,Equations!G143)</f>
        <v>23</v>
      </c>
      <c r="F118" s="46">
        <f>IF($F$101="Option A",Equations!F144,Equations!G144)</f>
        <v>23.459999999999997</v>
      </c>
      <c r="G118" s="146" t="s">
        <v>86</v>
      </c>
      <c r="H118" s="149"/>
      <c r="I118" s="149"/>
      <c r="J118" s="28"/>
      <c r="K118" s="28"/>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85"/>
    </row>
    <row r="119" spans="1:41" ht="15" customHeight="1" thickBot="1">
      <c r="A119" s="17"/>
      <c r="B119" s="75"/>
      <c r="C119" s="29" t="s">
        <v>98</v>
      </c>
      <c r="D119" s="47">
        <f>IF($F$101="Option A",Equations!F145,Equations!G145)</f>
        <v>21.802000000000003</v>
      </c>
      <c r="E119" s="48">
        <f>IF($F$101="Option A",Equations!F146,Equations!G146)</f>
        <v>22.483400000000003</v>
      </c>
      <c r="F119" s="49">
        <f>IF($F$101="Option A",Equations!F147,Equations!G147)</f>
        <v>23.1648</v>
      </c>
      <c r="G119" s="146" t="s">
        <v>86</v>
      </c>
      <c r="H119" s="149"/>
      <c r="I119" s="149"/>
      <c r="J119" s="28"/>
      <c r="K119" s="28"/>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28"/>
      <c r="AN119" s="28"/>
      <c r="AO119" s="85"/>
    </row>
    <row r="120" spans="1:41" ht="15" customHeight="1">
      <c r="A120" s="17"/>
      <c r="B120" s="75"/>
      <c r="C120" s="320" t="s">
        <v>417</v>
      </c>
      <c r="D120" s="320"/>
      <c r="E120" s="320"/>
      <c r="F120" s="320"/>
      <c r="G120" s="321"/>
      <c r="H120" s="285"/>
      <c r="I120" s="285"/>
      <c r="J120" s="28"/>
      <c r="K120" s="28"/>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28"/>
      <c r="AN120" s="28"/>
      <c r="AO120" s="85"/>
    </row>
    <row r="121" spans="1:41" ht="15" customHeight="1">
      <c r="A121" s="17"/>
      <c r="B121" s="75"/>
      <c r="C121" s="320"/>
      <c r="D121" s="320"/>
      <c r="E121" s="320"/>
      <c r="F121" s="320"/>
      <c r="G121" s="321"/>
      <c r="H121" s="285"/>
      <c r="I121" s="285"/>
      <c r="J121" s="28"/>
      <c r="K121" s="28"/>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28"/>
      <c r="AN121" s="28"/>
      <c r="AO121" s="85"/>
    </row>
    <row r="122" spans="1:41" ht="15" customHeight="1">
      <c r="A122" s="17"/>
      <c r="B122" s="75"/>
      <c r="C122" s="320"/>
      <c r="D122" s="320"/>
      <c r="E122" s="320"/>
      <c r="F122" s="320"/>
      <c r="G122" s="321"/>
      <c r="H122" s="285"/>
      <c r="I122" s="285"/>
      <c r="J122" s="252" t="s">
        <v>249</v>
      </c>
      <c r="K122" s="28"/>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28"/>
      <c r="AN122" s="28"/>
      <c r="AO122" s="85"/>
    </row>
    <row r="123" spans="1:41" ht="15" customHeight="1" thickBot="1">
      <c r="A123" s="17"/>
      <c r="B123" s="74"/>
      <c r="C123" s="17"/>
      <c r="D123" s="17"/>
      <c r="E123" s="29" t="s">
        <v>114</v>
      </c>
      <c r="F123" s="158">
        <v>10</v>
      </c>
      <c r="G123" s="268" t="s">
        <v>84</v>
      </c>
      <c r="H123" s="106"/>
      <c r="I123" s="106"/>
      <c r="J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28"/>
      <c r="AN123" s="286"/>
      <c r="AO123" s="89"/>
    </row>
    <row r="124" spans="1:41" ht="15" customHeight="1">
      <c r="A124" s="17"/>
      <c r="B124" s="121" t="s">
        <v>205</v>
      </c>
      <c r="C124" s="72"/>
      <c r="D124" s="72"/>
      <c r="E124" s="103" t="s">
        <v>414</v>
      </c>
      <c r="F124" s="83">
        <f>Rs</f>
        <v>2.5</v>
      </c>
      <c r="G124" s="192" t="s">
        <v>85</v>
      </c>
      <c r="H124" s="287"/>
      <c r="I124" s="287"/>
      <c r="J124" s="72"/>
      <c r="K124" s="72"/>
      <c r="L124" s="72"/>
      <c r="M124" s="72"/>
      <c r="N124" s="72"/>
      <c r="O124" s="72"/>
      <c r="P124" s="72"/>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101"/>
    </row>
    <row r="125" spans="1:41" ht="15" customHeight="1">
      <c r="A125" s="17"/>
      <c r="B125" s="74"/>
      <c r="C125" s="17"/>
      <c r="D125" s="17"/>
      <c r="E125" s="91" t="s">
        <v>203</v>
      </c>
      <c r="F125" s="92">
        <f>IF(RsMAX&gt;Rs,"DNP",RDIV1)</f>
        <v>10</v>
      </c>
      <c r="G125" s="142" t="s">
        <v>87</v>
      </c>
      <c r="H125" s="262"/>
      <c r="I125" s="262"/>
      <c r="J125" s="17"/>
      <c r="K125" s="17"/>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122"/>
    </row>
    <row r="126" spans="1:41" ht="15" customHeight="1">
      <c r="A126" s="17"/>
      <c r="B126" s="74"/>
      <c r="C126" s="17"/>
      <c r="D126" s="17"/>
      <c r="E126" s="91" t="s">
        <v>204</v>
      </c>
      <c r="F126" s="92">
        <f>IF(RsMAX&gt;Rs,"0",RDIV2)</f>
        <v>0.31</v>
      </c>
      <c r="G126" s="142" t="s">
        <v>87</v>
      </c>
      <c r="H126" s="262"/>
      <c r="I126" s="262"/>
      <c r="J126" s="17"/>
      <c r="K126" s="17"/>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122"/>
    </row>
    <row r="127" spans="1:41" ht="15" customHeight="1">
      <c r="A127" s="17"/>
      <c r="B127" s="75"/>
      <c r="C127" s="17"/>
      <c r="D127" s="17"/>
      <c r="E127" s="54" t="s">
        <v>17</v>
      </c>
      <c r="F127" s="36">
        <f>F51</f>
        <v>22</v>
      </c>
      <c r="G127" s="144" t="s">
        <v>84</v>
      </c>
      <c r="H127" s="261"/>
      <c r="I127" s="261"/>
      <c r="J127" s="17"/>
      <c r="K127" s="17"/>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107"/>
      <c r="AO127" s="108"/>
    </row>
    <row r="128" spans="1:41" ht="15" customHeight="1">
      <c r="A128" s="17"/>
      <c r="B128" s="75"/>
      <c r="C128" s="17"/>
      <c r="D128" s="17"/>
      <c r="E128" s="55" t="s">
        <v>415</v>
      </c>
      <c r="F128" s="45">
        <f>IF(F30="Soft Start", F96, F83)</f>
        <v>6800</v>
      </c>
      <c r="G128" s="140" t="s">
        <v>118</v>
      </c>
      <c r="H128" s="149"/>
      <c r="I128" s="28"/>
      <c r="J128" s="329" t="s">
        <v>617</v>
      </c>
      <c r="K128" s="329"/>
      <c r="L128" s="291"/>
      <c r="M128" s="291"/>
      <c r="N128" s="291"/>
      <c r="O128" s="291"/>
      <c r="P128" s="291"/>
      <c r="Q128" s="291"/>
      <c r="R128" s="291"/>
      <c r="S128" s="291"/>
      <c r="T128" s="291"/>
      <c r="U128" s="291"/>
      <c r="V128" s="291"/>
      <c r="W128" s="291"/>
      <c r="X128" s="291"/>
      <c r="Y128" s="291"/>
      <c r="Z128" s="291"/>
      <c r="AA128" s="291"/>
      <c r="AB128" s="291"/>
      <c r="AC128" s="291"/>
      <c r="AD128" s="291"/>
      <c r="AE128" s="291"/>
      <c r="AF128" s="291"/>
      <c r="AG128" s="291"/>
      <c r="AH128" s="291"/>
      <c r="AI128" s="291"/>
      <c r="AJ128" s="291"/>
      <c r="AM128" s="28"/>
      <c r="AN128" s="17"/>
      <c r="AO128" s="90"/>
    </row>
    <row r="129" spans="1:42" ht="15" customHeight="1">
      <c r="A129" s="17"/>
      <c r="B129" s="75"/>
      <c r="C129" s="17"/>
      <c r="D129" s="17"/>
      <c r="E129" s="54" t="s">
        <v>11</v>
      </c>
      <c r="F129" s="36">
        <f>F110</f>
        <v>47.62</v>
      </c>
      <c r="G129" s="144" t="s">
        <v>84</v>
      </c>
      <c r="H129" s="261"/>
      <c r="I129" s="106"/>
      <c r="J129" s="300" t="s">
        <v>419</v>
      </c>
      <c r="K129" s="274" t="s">
        <v>150</v>
      </c>
      <c r="L129" s="28"/>
      <c r="M129" s="107"/>
      <c r="N129" s="107"/>
      <c r="O129" s="107"/>
      <c r="P129" s="107"/>
      <c r="Q129" s="107"/>
      <c r="R129" s="107"/>
      <c r="S129" s="107"/>
      <c r="T129" s="107"/>
      <c r="U129" s="107"/>
      <c r="V129" s="107"/>
      <c r="W129" s="107"/>
      <c r="X129" s="107"/>
      <c r="Y129" s="107"/>
      <c r="Z129" s="107"/>
      <c r="AA129" s="107"/>
      <c r="AB129" s="107"/>
      <c r="AC129" s="107"/>
      <c r="AD129" s="107"/>
      <c r="AE129" s="107"/>
      <c r="AF129" s="107"/>
      <c r="AG129" s="107"/>
      <c r="AH129" s="107"/>
      <c r="AI129" s="107"/>
      <c r="AJ129" s="288" t="s">
        <v>150</v>
      </c>
      <c r="AM129" s="28"/>
      <c r="AN129" s="17"/>
      <c r="AO129" s="90"/>
    </row>
    <row r="130" spans="1:42" ht="15" customHeight="1">
      <c r="A130" s="17"/>
      <c r="B130" s="75"/>
      <c r="C130" s="17"/>
      <c r="D130" s="17"/>
      <c r="E130" s="54" t="s">
        <v>12</v>
      </c>
      <c r="F130" s="36">
        <f>F111</f>
        <v>9.5</v>
      </c>
      <c r="G130" s="144" t="s">
        <v>84</v>
      </c>
      <c r="H130" s="261"/>
      <c r="I130" s="29" t="s">
        <v>206</v>
      </c>
      <c r="J130" s="272">
        <f>F42</f>
        <v>22.681999999999999</v>
      </c>
      <c r="K130" s="273" t="s">
        <v>25</v>
      </c>
      <c r="L130" s="28"/>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289" t="s">
        <v>25</v>
      </c>
      <c r="AM130" s="28"/>
      <c r="AN130" s="17"/>
      <c r="AO130" s="90"/>
    </row>
    <row r="131" spans="1:42" ht="15" customHeight="1">
      <c r="A131" s="17"/>
      <c r="B131" s="75"/>
      <c r="C131" s="17"/>
      <c r="D131" s="17"/>
      <c r="E131" s="54" t="s">
        <v>13</v>
      </c>
      <c r="F131" s="36">
        <f>F112</f>
        <v>24.6</v>
      </c>
      <c r="G131" s="144" t="s">
        <v>84</v>
      </c>
      <c r="H131" s="261"/>
      <c r="I131" s="29" t="s">
        <v>160</v>
      </c>
      <c r="J131" s="110">
        <f>F52</f>
        <v>72.582399999999993</v>
      </c>
      <c r="K131" s="233" t="s">
        <v>87</v>
      </c>
      <c r="L131" s="28"/>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290" t="s">
        <v>87</v>
      </c>
      <c r="AM131" s="28"/>
      <c r="AN131" s="17"/>
      <c r="AO131" s="90"/>
    </row>
    <row r="132" spans="1:42" ht="15" customHeight="1">
      <c r="A132" s="17"/>
      <c r="B132" s="75"/>
      <c r="C132" s="17"/>
      <c r="D132" s="17"/>
      <c r="E132" s="54" t="s">
        <v>14</v>
      </c>
      <c r="F132" s="37">
        <f>IF(F101="Option A","N/A",F113)</f>
        <v>3</v>
      </c>
      <c r="G132" s="144" t="s">
        <v>84</v>
      </c>
      <c r="H132" s="261"/>
      <c r="I132" s="26" t="s">
        <v>215</v>
      </c>
      <c r="J132" s="113">
        <f>F42</f>
        <v>22.681999999999999</v>
      </c>
      <c r="K132" s="233" t="s">
        <v>25</v>
      </c>
      <c r="L132" s="28"/>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290" t="s">
        <v>25</v>
      </c>
      <c r="AM132" s="28"/>
      <c r="AN132" s="17"/>
      <c r="AO132" s="90"/>
    </row>
    <row r="133" spans="1:42" ht="15" customHeight="1">
      <c r="A133" s="17"/>
      <c r="B133" s="75"/>
      <c r="C133" s="17"/>
      <c r="D133" s="17"/>
      <c r="E133" s="55" t="s">
        <v>416</v>
      </c>
      <c r="F133" s="40">
        <f>IF(F30="Soft Start", F91, "DNP")</f>
        <v>150</v>
      </c>
      <c r="G133" s="140" t="s">
        <v>118</v>
      </c>
      <c r="H133" s="149"/>
      <c r="I133" s="29" t="s">
        <v>207</v>
      </c>
      <c r="J133" s="115">
        <f>IF(F30="Soft Start",Equations!F70,Start_up!M2)</f>
        <v>206.25</v>
      </c>
      <c r="K133" s="233" t="s">
        <v>8</v>
      </c>
      <c r="L133" s="28"/>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290" t="s">
        <v>8</v>
      </c>
      <c r="AM133" s="28"/>
      <c r="AN133" s="17"/>
      <c r="AO133" s="90"/>
    </row>
    <row r="134" spans="1:42" ht="15" customHeight="1">
      <c r="A134" s="17"/>
      <c r="B134" s="75"/>
      <c r="C134" s="17"/>
      <c r="D134" s="17"/>
      <c r="E134" s="54" t="s">
        <v>55</v>
      </c>
      <c r="F134" s="39">
        <v>0.1</v>
      </c>
      <c r="G134" s="144" t="s">
        <v>83</v>
      </c>
      <c r="H134" s="261"/>
      <c r="I134" s="29" t="s">
        <v>208</v>
      </c>
      <c r="J134" s="113">
        <f>TINSERT</f>
        <v>4945.454545454545</v>
      </c>
      <c r="K134" s="233" t="s">
        <v>8</v>
      </c>
      <c r="L134" s="28"/>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290" t="s">
        <v>8</v>
      </c>
      <c r="AM134" s="28"/>
      <c r="AN134" s="17"/>
      <c r="AO134" s="90"/>
    </row>
    <row r="135" spans="1:42" ht="15" customHeight="1">
      <c r="A135" s="17"/>
      <c r="B135" s="75"/>
      <c r="C135" s="17"/>
      <c r="D135" s="17"/>
      <c r="E135" s="190" t="s">
        <v>436</v>
      </c>
      <c r="F135" s="191" t="s">
        <v>437</v>
      </c>
      <c r="G135" s="140"/>
      <c r="H135" s="149"/>
      <c r="I135" s="29" t="s">
        <v>209</v>
      </c>
      <c r="J135" s="115">
        <f>IF(F30="Soft Start", F97,F84)</f>
        <v>320</v>
      </c>
      <c r="K135" s="233" t="s">
        <v>8</v>
      </c>
      <c r="L135" s="28"/>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290" t="s">
        <v>8</v>
      </c>
      <c r="AM135" s="28"/>
      <c r="AN135" s="17"/>
      <c r="AO135" s="90"/>
    </row>
    <row r="136" spans="1:42" ht="15" customHeight="1">
      <c r="A136" s="17"/>
      <c r="B136" s="75"/>
      <c r="C136" s="17"/>
      <c r="D136" s="17"/>
      <c r="E136" s="190" t="s">
        <v>422</v>
      </c>
      <c r="F136" s="191" t="str">
        <f>IF(F30="Soft Start","1N4148W-7-F","DNP")</f>
        <v>1N4148W-7-F</v>
      </c>
      <c r="G136" s="140"/>
      <c r="H136" s="149"/>
      <c r="I136" s="29" t="s">
        <v>210</v>
      </c>
      <c r="J136" s="116">
        <f>F100</f>
        <v>63964.000000000007</v>
      </c>
      <c r="K136" s="233" t="s">
        <v>8</v>
      </c>
      <c r="L136" s="28"/>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290" t="s">
        <v>8</v>
      </c>
      <c r="AM136" s="28"/>
      <c r="AN136" s="17"/>
      <c r="AO136" s="90"/>
    </row>
    <row r="137" spans="1:42" ht="15" customHeight="1">
      <c r="A137" s="17"/>
      <c r="B137" s="75"/>
      <c r="C137" s="17"/>
      <c r="D137" s="17"/>
      <c r="E137" s="190" t="s">
        <v>446</v>
      </c>
      <c r="F137" s="191" t="str">
        <f>F75</f>
        <v>NON-TI MOSFET</v>
      </c>
      <c r="G137" s="140"/>
      <c r="H137" s="149"/>
      <c r="I137" s="109" t="s">
        <v>211</v>
      </c>
      <c r="J137" s="111">
        <f>E116</f>
        <v>16.031598947368423</v>
      </c>
      <c r="K137" s="233" t="s">
        <v>86</v>
      </c>
      <c r="L137" s="28"/>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290" t="s">
        <v>86</v>
      </c>
      <c r="AM137" s="28"/>
      <c r="AN137" s="17"/>
      <c r="AO137" s="90"/>
      <c r="AP137" s="25"/>
    </row>
    <row r="138" spans="1:42" ht="15" customHeight="1">
      <c r="A138" s="17"/>
      <c r="B138" s="75"/>
      <c r="C138" s="17"/>
      <c r="D138" s="17"/>
      <c r="E138" s="190" t="s">
        <v>616</v>
      </c>
      <c r="F138" s="191">
        <f ca="1">MATCH(F137,F54:H54,F64:H64)</f>
        <v>3</v>
      </c>
      <c r="G138" s="140"/>
      <c r="H138" s="149"/>
      <c r="I138" s="109" t="s">
        <v>213</v>
      </c>
      <c r="J138" s="111">
        <f>E117</f>
        <v>15.03157894736842</v>
      </c>
      <c r="K138" s="233" t="s">
        <v>86</v>
      </c>
      <c r="L138" s="28"/>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290" t="s">
        <v>86</v>
      </c>
      <c r="AM138" s="28"/>
      <c r="AN138" s="17"/>
      <c r="AO138" s="90"/>
      <c r="AP138" s="25"/>
    </row>
    <row r="139" spans="1:42" ht="15" customHeight="1">
      <c r="A139" s="17"/>
      <c r="B139" s="75"/>
      <c r="C139" s="17"/>
      <c r="D139" s="17"/>
      <c r="E139" s="190" t="s">
        <v>447</v>
      </c>
      <c r="F139" s="191" t="str">
        <f>IF(F30="Soft Start","MMBT5401LT1G","DNP")</f>
        <v>MMBT5401LT1G</v>
      </c>
      <c r="G139" s="140"/>
      <c r="H139" s="149"/>
      <c r="I139" s="109" t="s">
        <v>214</v>
      </c>
      <c r="J139" s="111">
        <f>E118</f>
        <v>23</v>
      </c>
      <c r="K139" s="233" t="s">
        <v>86</v>
      </c>
      <c r="L139" s="28"/>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290" t="s">
        <v>86</v>
      </c>
      <c r="AK139" s="17"/>
      <c r="AL139" s="17"/>
      <c r="AM139" s="28"/>
      <c r="AN139" s="17"/>
      <c r="AO139" s="90"/>
    </row>
    <row r="140" spans="1:42" ht="15" customHeight="1">
      <c r="A140" s="17"/>
      <c r="B140" s="75"/>
      <c r="C140" s="17"/>
      <c r="D140" s="17"/>
      <c r="E140" s="190" t="s">
        <v>435</v>
      </c>
      <c r="F140" s="191" t="s">
        <v>673</v>
      </c>
      <c r="G140" s="140"/>
      <c r="H140" s="149"/>
      <c r="I140" s="109" t="s">
        <v>212</v>
      </c>
      <c r="J140" s="111">
        <f>E119</f>
        <v>22.483400000000003</v>
      </c>
      <c r="K140" s="233" t="s">
        <v>86</v>
      </c>
      <c r="L140" s="28"/>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273" t="s">
        <v>86</v>
      </c>
      <c r="AK140" s="17"/>
      <c r="AL140" s="17"/>
      <c r="AM140" s="17"/>
      <c r="AN140" s="17"/>
      <c r="AO140" s="90"/>
    </row>
    <row r="141" spans="1:42">
      <c r="A141" s="17"/>
      <c r="B141" s="75"/>
      <c r="C141" s="17"/>
      <c r="D141" s="17"/>
      <c r="F141" s="117"/>
      <c r="G141" s="146"/>
      <c r="H141" s="149"/>
      <c r="I141" s="149"/>
      <c r="J141" s="17"/>
      <c r="K141" s="17"/>
      <c r="L141" s="109"/>
      <c r="M141" s="189"/>
      <c r="N141" s="102"/>
      <c r="O141" s="28"/>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90"/>
    </row>
    <row r="142" spans="1:42">
      <c r="A142" s="17"/>
      <c r="B142" s="75"/>
      <c r="C142" s="17"/>
      <c r="D142" s="17"/>
      <c r="E142" s="55"/>
      <c r="F142" s="117"/>
      <c r="G142" s="146"/>
      <c r="H142" s="149"/>
      <c r="I142" s="149"/>
      <c r="J142" s="17"/>
      <c r="K142" s="17"/>
      <c r="L142" s="17"/>
      <c r="M142" s="17"/>
      <c r="N142" s="17"/>
      <c r="O142" s="28"/>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85"/>
    </row>
    <row r="143" spans="1:42" ht="15">
      <c r="A143" s="17"/>
      <c r="B143" s="185" t="s">
        <v>18</v>
      </c>
      <c r="C143" s="27" t="s">
        <v>90</v>
      </c>
      <c r="D143" s="20"/>
      <c r="E143" s="27"/>
      <c r="F143" s="104"/>
      <c r="G143" s="148"/>
      <c r="H143" s="18"/>
      <c r="I143" s="18"/>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85"/>
    </row>
    <row r="144" spans="1:42">
      <c r="A144" s="17"/>
      <c r="B144" s="75"/>
      <c r="C144" s="328" t="s">
        <v>110</v>
      </c>
      <c r="D144" s="328"/>
      <c r="E144" s="328"/>
      <c r="F144" s="328"/>
      <c r="G144" s="148"/>
      <c r="H144" s="18"/>
      <c r="I144" s="18"/>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85"/>
    </row>
    <row r="145" spans="1:41">
      <c r="A145" s="17"/>
      <c r="B145" s="75"/>
      <c r="C145" s="328"/>
      <c r="D145" s="328"/>
      <c r="E145" s="328"/>
      <c r="F145" s="328"/>
      <c r="G145" s="148"/>
      <c r="H145" s="18"/>
      <c r="I145" s="18"/>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85"/>
    </row>
    <row r="146" spans="1:41">
      <c r="A146" s="17"/>
      <c r="B146" s="75"/>
      <c r="C146" s="27" t="s">
        <v>245</v>
      </c>
      <c r="D146" s="17"/>
      <c r="E146" s="27"/>
      <c r="F146" s="17"/>
      <c r="G146" s="148"/>
      <c r="H146" s="18"/>
      <c r="I146" s="18"/>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85"/>
    </row>
    <row r="147" spans="1:41" ht="14" thickBot="1">
      <c r="A147" s="17"/>
      <c r="B147" s="76"/>
      <c r="C147" s="77"/>
      <c r="D147" s="77"/>
      <c r="E147" s="105"/>
      <c r="F147" s="77"/>
      <c r="G147" s="269"/>
      <c r="H147" s="150"/>
      <c r="I147" s="150"/>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89"/>
    </row>
    <row r="148" spans="1:41">
      <c r="A148" s="17"/>
      <c r="B148" s="17"/>
      <c r="C148" s="17"/>
      <c r="D148" s="17"/>
      <c r="E148" s="17"/>
      <c r="F148" s="17"/>
      <c r="G148" s="18"/>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row>
    <row r="149" spans="1:41" ht="14">
      <c r="A149" s="17"/>
      <c r="B149" s="34"/>
      <c r="C149" s="17"/>
      <c r="D149" s="17"/>
      <c r="E149" s="17"/>
      <c r="F149" s="28"/>
      <c r="G149" s="151"/>
      <c r="H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row>
    <row r="150" spans="1:41">
      <c r="A150" s="17"/>
      <c r="B150" s="17"/>
      <c r="C150" s="17"/>
      <c r="D150" s="17"/>
      <c r="E150" s="17"/>
      <c r="F150" s="28"/>
      <c r="G150" s="151"/>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row>
    <row r="151" spans="1:41">
      <c r="A151" s="17"/>
      <c r="B151" s="17"/>
      <c r="C151" s="17"/>
      <c r="D151" s="17"/>
      <c r="E151" s="17"/>
      <c r="F151" s="28"/>
      <c r="G151" s="151"/>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row>
    <row r="152" spans="1:41">
      <c r="A152" s="17"/>
      <c r="B152" s="17"/>
      <c r="C152" s="17"/>
      <c r="D152" s="17"/>
      <c r="E152" s="17"/>
      <c r="F152" s="28"/>
      <c r="G152" s="151"/>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row>
    <row r="153" spans="1:41">
      <c r="A153" s="17"/>
      <c r="B153" s="17"/>
      <c r="C153" s="17"/>
      <c r="D153" s="17"/>
      <c r="E153" s="17"/>
      <c r="F153" s="28"/>
      <c r="G153" s="151"/>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row>
    <row r="154" spans="1:41">
      <c r="A154" s="17"/>
      <c r="B154" s="17"/>
      <c r="C154" s="17"/>
      <c r="D154" s="17"/>
      <c r="E154" s="17"/>
      <c r="F154" s="28"/>
      <c r="G154" s="151"/>
      <c r="H154" s="28"/>
      <c r="I154" s="28"/>
      <c r="J154" s="28"/>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row>
    <row r="155" spans="1:41">
      <c r="A155" s="17"/>
      <c r="B155" s="17"/>
      <c r="C155" s="17"/>
      <c r="D155" s="17"/>
      <c r="E155" s="17"/>
      <c r="F155" s="28"/>
      <c r="G155" s="151"/>
      <c r="H155" s="28"/>
      <c r="I155" s="28"/>
      <c r="J155" s="28"/>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row>
    <row r="156" spans="1:41">
      <c r="A156" s="17"/>
      <c r="B156" s="17"/>
      <c r="C156" s="17"/>
      <c r="D156" s="17"/>
      <c r="E156" s="17"/>
      <c r="F156" s="28"/>
      <c r="G156" s="151"/>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row>
    <row r="157" spans="1:41">
      <c r="A157" s="17"/>
      <c r="B157" s="17"/>
      <c r="C157" s="17"/>
      <c r="D157" s="17"/>
      <c r="E157" s="17"/>
      <c r="F157" s="17"/>
      <c r="G157" s="18"/>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row>
    <row r="158" spans="1:41">
      <c r="A158" s="17"/>
      <c r="B158" s="17"/>
      <c r="C158" s="17"/>
      <c r="D158" s="17"/>
      <c r="E158" s="17"/>
      <c r="F158" s="28"/>
      <c r="G158" s="151"/>
      <c r="H158" s="28"/>
      <c r="I158" s="28"/>
      <c r="J158" s="28"/>
      <c r="K158" s="28"/>
      <c r="L158" s="2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row>
    <row r="159" spans="1:41">
      <c r="A159" s="17"/>
      <c r="B159" s="17"/>
      <c r="C159" s="17"/>
      <c r="D159" s="17"/>
      <c r="E159" s="17"/>
      <c r="F159" s="28"/>
      <c r="G159" s="151"/>
      <c r="H159" s="28"/>
      <c r="I159" s="28"/>
      <c r="J159" s="28"/>
      <c r="K159" s="28"/>
      <c r="L159" s="2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row>
    <row r="160" spans="1:41">
      <c r="A160" s="17"/>
      <c r="B160" s="17"/>
      <c r="C160" s="17"/>
      <c r="D160" s="17"/>
      <c r="E160" s="17"/>
      <c r="F160" s="28"/>
      <c r="G160" s="151"/>
      <c r="H160" s="28"/>
      <c r="I160" s="28"/>
      <c r="J160" s="28"/>
      <c r="K160" s="28"/>
      <c r="L160" s="2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row>
    <row r="161" spans="1:39">
      <c r="A161" s="17"/>
      <c r="B161" s="17"/>
      <c r="C161" s="17"/>
      <c r="D161" s="17"/>
      <c r="E161" s="17"/>
      <c r="F161" s="28"/>
      <c r="G161" s="151"/>
      <c r="H161" s="28"/>
      <c r="I161" s="28"/>
      <c r="J161" s="28"/>
      <c r="K161" s="28"/>
      <c r="L161" s="28"/>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c r="AJ161" s="17"/>
      <c r="AK161" s="17"/>
      <c r="AL161" s="17"/>
      <c r="AM161" s="17"/>
    </row>
    <row r="162" spans="1:39">
      <c r="A162" s="17"/>
      <c r="B162" s="17"/>
      <c r="C162" s="17"/>
      <c r="D162" s="17"/>
      <c r="E162" s="17"/>
      <c r="F162" s="28"/>
      <c r="G162" s="151"/>
      <c r="H162" s="28"/>
      <c r="I162" s="28"/>
      <c r="J162" s="28"/>
      <c r="K162" s="28"/>
      <c r="L162" s="28"/>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c r="AJ162" s="17"/>
      <c r="AK162" s="17"/>
      <c r="AL162" s="17"/>
      <c r="AM162" s="17"/>
    </row>
    <row r="163" spans="1:39">
      <c r="A163" s="17"/>
      <c r="B163" s="17"/>
      <c r="C163" s="17"/>
      <c r="D163" s="17"/>
      <c r="E163" s="17"/>
      <c r="F163" s="28"/>
      <c r="G163" s="151"/>
      <c r="H163" s="28"/>
      <c r="I163" s="28"/>
      <c r="J163" s="28"/>
      <c r="K163" s="28"/>
      <c r="L163" s="28"/>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c r="AJ163" s="17"/>
      <c r="AK163" s="17"/>
      <c r="AL163" s="17"/>
      <c r="AM163" s="17"/>
    </row>
    <row r="164" spans="1:39">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c r="AJ164" s="17"/>
      <c r="AK164" s="17"/>
      <c r="AL164" s="17"/>
      <c r="AM164" s="17"/>
    </row>
    <row r="165" spans="1:39">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c r="AJ165" s="17"/>
      <c r="AK165" s="17"/>
      <c r="AL165" s="17"/>
      <c r="AM165" s="17"/>
    </row>
    <row r="166" spans="1:39">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c r="AJ166" s="17"/>
      <c r="AK166" s="17"/>
      <c r="AL166" s="17"/>
      <c r="AM166" s="17"/>
    </row>
    <row r="167" spans="1:39">
      <c r="A167" s="17"/>
      <c r="B167" s="17"/>
      <c r="C167" s="17"/>
      <c r="D167" s="17"/>
      <c r="E167" s="17"/>
      <c r="F167" s="17"/>
      <c r="G167" s="18"/>
      <c r="H167" s="17"/>
      <c r="I167" s="17"/>
      <c r="J167" s="17"/>
      <c r="K167" s="17"/>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c r="AJ167" s="17"/>
      <c r="AK167" s="17"/>
      <c r="AL167" s="17"/>
      <c r="AM167" s="17"/>
    </row>
    <row r="168" spans="1:39">
      <c r="A168" s="17"/>
      <c r="B168" s="17"/>
      <c r="C168" s="17"/>
      <c r="D168" s="17"/>
      <c r="E168" s="17"/>
      <c r="F168" s="17"/>
      <c r="G168" s="18"/>
      <c r="H168" s="17"/>
      <c r="I168" s="17"/>
      <c r="J168" s="17"/>
      <c r="K168" s="17"/>
      <c r="L168" s="17"/>
      <c r="M168" s="17"/>
      <c r="N168" s="17"/>
      <c r="O168" s="17"/>
      <c r="P168" s="17"/>
      <c r="Q168" s="17"/>
      <c r="R168" s="17"/>
      <c r="S168" s="17"/>
      <c r="T168" s="17"/>
      <c r="U168" s="17"/>
      <c r="V168" s="17"/>
      <c r="W168" s="17"/>
      <c r="X168" s="17"/>
      <c r="Y168" s="17"/>
      <c r="Z168" s="17"/>
      <c r="AA168" s="17"/>
      <c r="AB168" s="17"/>
      <c r="AC168" s="17"/>
      <c r="AD168" s="17"/>
      <c r="AE168" s="17"/>
      <c r="AF168" s="17"/>
      <c r="AG168" s="17"/>
      <c r="AH168" s="17"/>
      <c r="AI168" s="17"/>
      <c r="AJ168" s="17"/>
      <c r="AK168" s="17"/>
      <c r="AL168" s="17"/>
      <c r="AM168" s="17"/>
    </row>
    <row r="169" spans="1:39">
      <c r="A169" s="17"/>
      <c r="B169" s="17"/>
      <c r="C169" s="17"/>
      <c r="D169" s="17"/>
      <c r="E169" s="17"/>
      <c r="F169" s="17"/>
      <c r="G169" s="18"/>
      <c r="H169" s="17"/>
      <c r="I169" s="17"/>
      <c r="J169" s="17"/>
      <c r="K169" s="17"/>
      <c r="L169" s="17"/>
      <c r="M169" s="17"/>
      <c r="N169" s="17"/>
      <c r="O169" s="17"/>
      <c r="P169" s="17"/>
      <c r="Q169" s="17"/>
      <c r="R169" s="17"/>
      <c r="S169" s="17"/>
      <c r="T169" s="17"/>
      <c r="U169" s="17"/>
      <c r="V169" s="17"/>
      <c r="W169" s="17"/>
      <c r="X169" s="17"/>
      <c r="Y169" s="17"/>
      <c r="Z169" s="17"/>
      <c r="AA169" s="17"/>
      <c r="AB169" s="17"/>
      <c r="AC169" s="17"/>
      <c r="AD169" s="17"/>
      <c r="AE169" s="17"/>
      <c r="AF169" s="17"/>
      <c r="AG169" s="17"/>
      <c r="AH169" s="17"/>
      <c r="AI169" s="17"/>
      <c r="AJ169" s="17"/>
      <c r="AK169" s="17"/>
      <c r="AL169" s="17"/>
      <c r="AM169" s="17"/>
    </row>
    <row r="170" spans="1:39">
      <c r="A170" s="17"/>
      <c r="B170" s="17"/>
      <c r="C170" s="17"/>
      <c r="D170" s="17"/>
      <c r="E170" s="17"/>
      <c r="F170" s="17"/>
      <c r="G170" s="18"/>
      <c r="H170" s="17"/>
      <c r="I170" s="17"/>
      <c r="J170" s="17"/>
      <c r="K170" s="17"/>
      <c r="L170" s="17"/>
      <c r="M170" s="17"/>
      <c r="N170" s="17"/>
      <c r="O170" s="17"/>
      <c r="P170" s="17"/>
      <c r="Q170" s="17"/>
      <c r="R170" s="17"/>
      <c r="S170" s="17"/>
      <c r="T170" s="17"/>
      <c r="U170" s="17"/>
      <c r="V170" s="17"/>
      <c r="W170" s="17"/>
      <c r="X170" s="17"/>
      <c r="Y170" s="17"/>
      <c r="Z170" s="17"/>
      <c r="AA170" s="17"/>
      <c r="AB170" s="17"/>
      <c r="AC170" s="17"/>
      <c r="AD170" s="17"/>
      <c r="AE170" s="17"/>
      <c r="AF170" s="17"/>
      <c r="AG170" s="17"/>
      <c r="AH170" s="17"/>
      <c r="AI170" s="17"/>
      <c r="AJ170" s="17"/>
      <c r="AK170" s="17"/>
      <c r="AL170" s="17"/>
      <c r="AM170" s="17"/>
    </row>
    <row r="171" spans="1:39">
      <c r="A171" s="17"/>
      <c r="B171" s="17"/>
      <c r="C171" s="17"/>
      <c r="D171" s="17"/>
      <c r="E171" s="17"/>
      <c r="F171" s="17"/>
      <c r="G171" s="18"/>
      <c r="H171" s="17"/>
      <c r="I171" s="17"/>
      <c r="J171" s="17"/>
      <c r="K171" s="17"/>
      <c r="L171" s="17"/>
      <c r="M171" s="17"/>
      <c r="N171" s="17"/>
      <c r="O171" s="17"/>
      <c r="P171" s="17"/>
      <c r="Q171" s="17"/>
      <c r="R171" s="17"/>
      <c r="S171" s="17"/>
      <c r="T171" s="17"/>
      <c r="U171" s="17"/>
      <c r="V171" s="17"/>
      <c r="W171" s="17"/>
      <c r="X171" s="17"/>
      <c r="Y171" s="17"/>
      <c r="Z171" s="17"/>
      <c r="AA171" s="17"/>
      <c r="AB171" s="17"/>
      <c r="AC171" s="17"/>
      <c r="AD171" s="17"/>
      <c r="AE171" s="17"/>
      <c r="AF171" s="17"/>
      <c r="AG171" s="17"/>
      <c r="AH171" s="17"/>
      <c r="AI171" s="17"/>
      <c r="AJ171" s="17"/>
      <c r="AK171" s="17"/>
      <c r="AL171" s="17"/>
      <c r="AM171" s="17"/>
    </row>
    <row r="172" spans="1:39">
      <c r="A172" s="17"/>
      <c r="B172" s="17"/>
      <c r="C172" s="17"/>
      <c r="D172" s="17"/>
      <c r="E172" s="17"/>
      <c r="F172" s="17"/>
      <c r="G172" s="18"/>
      <c r="H172" s="17"/>
      <c r="I172" s="17"/>
      <c r="J172" s="17"/>
      <c r="K172" s="17"/>
      <c r="L172" s="17"/>
      <c r="M172" s="17"/>
      <c r="N172" s="17"/>
      <c r="O172" s="17"/>
      <c r="P172" s="17"/>
      <c r="Q172" s="17"/>
      <c r="R172" s="17"/>
      <c r="S172" s="17"/>
      <c r="T172" s="17"/>
      <c r="U172" s="17"/>
      <c r="V172" s="17"/>
      <c r="W172" s="17"/>
      <c r="X172" s="17"/>
      <c r="Y172" s="17"/>
      <c r="Z172" s="17"/>
      <c r="AA172" s="17"/>
      <c r="AB172" s="17"/>
      <c r="AC172" s="17"/>
      <c r="AD172" s="17"/>
      <c r="AE172" s="17"/>
      <c r="AF172" s="17"/>
      <c r="AG172" s="17"/>
      <c r="AH172" s="17"/>
      <c r="AI172" s="17"/>
      <c r="AJ172" s="17"/>
      <c r="AK172" s="17"/>
      <c r="AL172" s="17"/>
      <c r="AM172" s="17"/>
    </row>
    <row r="173" spans="1:39">
      <c r="A173" s="17"/>
      <c r="B173" s="17"/>
      <c r="C173" s="17"/>
      <c r="D173" s="17"/>
      <c r="E173" s="17"/>
      <c r="F173" s="17"/>
      <c r="G173" s="18"/>
      <c r="H173" s="17"/>
      <c r="I173" s="17"/>
      <c r="J173" s="17"/>
      <c r="K173" s="17"/>
      <c r="L173" s="17"/>
      <c r="M173" s="17"/>
      <c r="N173" s="17"/>
      <c r="O173" s="17"/>
      <c r="P173" s="17"/>
      <c r="Q173" s="17"/>
      <c r="R173" s="17"/>
      <c r="S173" s="17"/>
      <c r="T173" s="17"/>
      <c r="U173" s="17"/>
      <c r="V173" s="17"/>
      <c r="W173" s="17"/>
      <c r="X173" s="17"/>
      <c r="Y173" s="17"/>
      <c r="Z173" s="17"/>
      <c r="AA173" s="17"/>
      <c r="AB173" s="17"/>
      <c r="AC173" s="17"/>
      <c r="AD173" s="17"/>
      <c r="AE173" s="17"/>
      <c r="AF173" s="17"/>
      <c r="AG173" s="17"/>
      <c r="AH173" s="17"/>
      <c r="AI173" s="17"/>
      <c r="AJ173" s="17"/>
      <c r="AK173" s="17"/>
      <c r="AL173" s="17"/>
      <c r="AM173" s="17"/>
    </row>
    <row r="174" spans="1:39">
      <c r="A174" s="17"/>
      <c r="B174" s="17"/>
      <c r="C174" s="17"/>
      <c r="D174" s="17"/>
      <c r="E174" s="17"/>
      <c r="F174" s="17"/>
      <c r="G174" s="18"/>
      <c r="H174" s="17"/>
      <c r="I174" s="17"/>
      <c r="J174" s="17"/>
      <c r="K174" s="17"/>
      <c r="L174" s="17"/>
      <c r="M174" s="17"/>
      <c r="N174" s="17"/>
      <c r="O174" s="17"/>
      <c r="P174" s="17"/>
      <c r="Q174" s="17"/>
      <c r="R174" s="17"/>
      <c r="S174" s="17"/>
      <c r="T174" s="17"/>
      <c r="U174" s="17"/>
      <c r="V174" s="17"/>
      <c r="W174" s="17"/>
      <c r="X174" s="17"/>
      <c r="Y174" s="17"/>
      <c r="Z174" s="17"/>
      <c r="AA174" s="17"/>
      <c r="AB174" s="17"/>
      <c r="AC174" s="17"/>
      <c r="AD174" s="17"/>
      <c r="AE174" s="17"/>
      <c r="AF174" s="17"/>
      <c r="AG174" s="17"/>
      <c r="AH174" s="17"/>
      <c r="AI174" s="17"/>
      <c r="AJ174" s="17"/>
      <c r="AK174" s="17"/>
      <c r="AL174" s="17"/>
      <c r="AM174" s="17"/>
    </row>
    <row r="175" spans="1:39" ht="14">
      <c r="A175" s="17"/>
      <c r="B175" s="35"/>
      <c r="C175" s="17"/>
      <c r="D175" s="17"/>
      <c r="E175" s="17"/>
      <c r="F175" s="17"/>
      <c r="G175" s="18"/>
      <c r="H175" s="17"/>
      <c r="I175" s="17"/>
      <c r="J175" s="17"/>
      <c r="K175" s="17"/>
      <c r="L175" s="17"/>
      <c r="M175" s="17"/>
      <c r="N175" s="17"/>
      <c r="O175" s="17"/>
      <c r="P175" s="17"/>
      <c r="Q175" s="17"/>
      <c r="R175" s="17"/>
      <c r="S175" s="17"/>
      <c r="T175" s="17"/>
      <c r="U175" s="17"/>
      <c r="V175" s="17"/>
      <c r="W175" s="17"/>
      <c r="X175" s="17"/>
      <c r="Y175" s="17"/>
      <c r="Z175" s="17"/>
      <c r="AA175" s="17"/>
      <c r="AB175" s="17"/>
      <c r="AC175" s="17"/>
      <c r="AD175" s="17"/>
      <c r="AE175" s="17"/>
      <c r="AF175" s="17"/>
      <c r="AG175" s="17"/>
      <c r="AH175" s="17"/>
      <c r="AI175" s="17"/>
      <c r="AJ175" s="17"/>
      <c r="AK175" s="17"/>
      <c r="AL175" s="17"/>
      <c r="AM175" s="17"/>
    </row>
    <row r="176" spans="1:39">
      <c r="A176" s="17"/>
      <c r="B176" s="17"/>
      <c r="C176" s="17"/>
      <c r="D176" s="17"/>
      <c r="E176" s="17"/>
      <c r="F176" s="17"/>
      <c r="G176" s="18"/>
      <c r="H176" s="17"/>
      <c r="I176" s="17"/>
      <c r="J176" s="17"/>
      <c r="K176" s="17"/>
      <c r="L176" s="17"/>
      <c r="M176" s="17"/>
      <c r="N176" s="17"/>
      <c r="O176" s="17"/>
      <c r="P176" s="17"/>
      <c r="Q176" s="17"/>
      <c r="R176" s="17"/>
      <c r="S176" s="17"/>
      <c r="T176" s="17"/>
      <c r="U176" s="17"/>
      <c r="V176" s="17"/>
      <c r="W176" s="17"/>
      <c r="X176" s="17"/>
      <c r="Y176" s="17"/>
      <c r="Z176" s="17"/>
      <c r="AA176" s="17"/>
      <c r="AB176" s="17"/>
      <c r="AC176" s="17"/>
      <c r="AD176" s="17"/>
      <c r="AE176" s="17"/>
      <c r="AF176" s="17"/>
      <c r="AG176" s="17"/>
      <c r="AH176" s="17"/>
      <c r="AI176" s="17"/>
      <c r="AJ176" s="17"/>
      <c r="AK176" s="17"/>
      <c r="AL176" s="17"/>
      <c r="AM176" s="17"/>
    </row>
    <row r="177" spans="1:39">
      <c r="A177" s="17"/>
      <c r="B177" s="17"/>
      <c r="C177" s="17"/>
      <c r="D177" s="17"/>
      <c r="E177" s="17"/>
      <c r="F177" s="17"/>
      <c r="G177" s="18"/>
      <c r="H177" s="17"/>
      <c r="I177" s="17"/>
      <c r="J177" s="17"/>
      <c r="K177" s="17"/>
      <c r="L177" s="17"/>
      <c r="M177" s="17"/>
      <c r="N177" s="17"/>
      <c r="O177" s="17"/>
      <c r="P177" s="17"/>
      <c r="Q177" s="17"/>
      <c r="R177" s="17"/>
      <c r="S177" s="17"/>
      <c r="T177" s="17"/>
      <c r="U177" s="17"/>
      <c r="V177" s="17"/>
      <c r="W177" s="17"/>
      <c r="X177" s="17"/>
      <c r="Y177" s="17"/>
      <c r="Z177" s="17"/>
      <c r="AA177" s="17"/>
      <c r="AB177" s="17"/>
      <c r="AC177" s="17"/>
      <c r="AD177" s="17"/>
      <c r="AE177" s="17"/>
      <c r="AF177" s="17"/>
      <c r="AG177" s="17"/>
      <c r="AH177" s="17"/>
      <c r="AI177" s="17"/>
      <c r="AJ177" s="17"/>
      <c r="AK177" s="17"/>
      <c r="AL177" s="17"/>
      <c r="AM177" s="17"/>
    </row>
    <row r="178" spans="1:39">
      <c r="A178" s="17"/>
      <c r="B178" s="17"/>
      <c r="C178" s="17"/>
      <c r="D178" s="17"/>
      <c r="E178" s="17"/>
      <c r="F178" s="17"/>
      <c r="G178" s="18"/>
      <c r="H178" s="17"/>
      <c r="I178" s="17"/>
      <c r="J178" s="17"/>
      <c r="K178" s="17"/>
      <c r="L178" s="17"/>
      <c r="M178" s="17"/>
      <c r="N178" s="17"/>
      <c r="O178" s="17"/>
      <c r="P178" s="17"/>
      <c r="Q178" s="17"/>
      <c r="R178" s="17"/>
      <c r="S178" s="17"/>
      <c r="T178" s="17"/>
      <c r="U178" s="17"/>
      <c r="V178" s="17"/>
      <c r="W178" s="17"/>
      <c r="X178" s="17"/>
      <c r="Y178" s="17"/>
      <c r="Z178" s="17"/>
      <c r="AA178" s="17"/>
      <c r="AB178" s="17"/>
      <c r="AC178" s="17"/>
      <c r="AD178" s="17"/>
      <c r="AE178" s="17"/>
      <c r="AF178" s="17"/>
      <c r="AG178" s="17"/>
      <c r="AH178" s="17"/>
      <c r="AI178" s="17"/>
      <c r="AJ178" s="17"/>
      <c r="AK178" s="17"/>
      <c r="AL178" s="17"/>
      <c r="AM178" s="17"/>
    </row>
    <row r="179" spans="1:39">
      <c r="A179" s="17"/>
      <c r="B179" s="17"/>
      <c r="C179" s="17"/>
      <c r="D179" s="17"/>
      <c r="E179" s="17"/>
      <c r="F179" s="17"/>
      <c r="G179" s="18"/>
      <c r="H179" s="17"/>
      <c r="I179" s="17"/>
      <c r="J179" s="17"/>
      <c r="K179" s="17"/>
      <c r="L179" s="17"/>
      <c r="M179" s="17"/>
      <c r="N179" s="17"/>
      <c r="O179" s="17"/>
      <c r="P179" s="17"/>
      <c r="Q179" s="17"/>
      <c r="R179" s="17"/>
      <c r="S179" s="17"/>
      <c r="T179" s="17"/>
      <c r="U179" s="17"/>
      <c r="V179" s="17"/>
      <c r="W179" s="17"/>
      <c r="X179" s="17"/>
      <c r="Y179" s="17"/>
      <c r="Z179" s="17"/>
      <c r="AA179" s="17"/>
      <c r="AB179" s="17"/>
      <c r="AC179" s="17"/>
      <c r="AD179" s="17"/>
      <c r="AE179" s="17"/>
      <c r="AF179" s="17"/>
      <c r="AG179" s="17"/>
      <c r="AH179" s="17"/>
      <c r="AI179" s="17"/>
      <c r="AJ179" s="17"/>
      <c r="AK179" s="17"/>
      <c r="AL179" s="17"/>
      <c r="AM179" s="17"/>
    </row>
    <row r="180" spans="1:39">
      <c r="A180" s="17"/>
      <c r="B180" s="17"/>
      <c r="D180" s="17"/>
      <c r="E180" s="17"/>
      <c r="F180" s="17"/>
      <c r="G180" s="18"/>
      <c r="H180" s="17"/>
      <c r="I180" s="17"/>
      <c r="J180" s="17"/>
      <c r="K180" s="17"/>
      <c r="L180" s="17"/>
      <c r="M180" s="17"/>
      <c r="N180" s="17"/>
      <c r="O180" s="17"/>
      <c r="P180" s="17"/>
      <c r="Q180" s="17"/>
      <c r="R180" s="17"/>
      <c r="S180" s="17"/>
      <c r="T180" s="17"/>
      <c r="U180" s="17"/>
      <c r="V180" s="17"/>
      <c r="W180" s="17"/>
      <c r="X180" s="17"/>
      <c r="Y180" s="17"/>
      <c r="Z180" s="17"/>
      <c r="AA180" s="17"/>
      <c r="AB180" s="17"/>
      <c r="AC180" s="17"/>
      <c r="AD180" s="17"/>
      <c r="AE180" s="17"/>
      <c r="AF180" s="17"/>
      <c r="AG180" s="17"/>
      <c r="AH180" s="17"/>
      <c r="AI180" s="17"/>
      <c r="AJ180" s="17"/>
      <c r="AK180" s="17"/>
      <c r="AL180" s="17"/>
      <c r="AM180" s="17"/>
    </row>
    <row r="181" spans="1:39">
      <c r="A181" s="17"/>
      <c r="B181" s="17"/>
      <c r="C181" s="17"/>
      <c r="D181" s="17"/>
      <c r="E181" s="17"/>
      <c r="F181" s="17"/>
      <c r="G181" s="18"/>
      <c r="H181" s="17"/>
      <c r="I181" s="17"/>
      <c r="J181" s="17"/>
      <c r="K181" s="17"/>
      <c r="L181" s="17"/>
      <c r="M181" s="17"/>
      <c r="N181" s="17"/>
      <c r="O181" s="17"/>
      <c r="P181" s="17"/>
      <c r="Q181" s="17"/>
      <c r="R181" s="17"/>
      <c r="S181" s="17"/>
      <c r="T181" s="17"/>
      <c r="U181" s="17"/>
      <c r="V181" s="17"/>
      <c r="W181" s="17"/>
      <c r="X181" s="17"/>
      <c r="Y181" s="17"/>
      <c r="Z181" s="17"/>
      <c r="AA181" s="17"/>
      <c r="AB181" s="17"/>
      <c r="AC181" s="17"/>
      <c r="AD181" s="17"/>
      <c r="AE181" s="17"/>
      <c r="AF181" s="17"/>
      <c r="AG181" s="17"/>
      <c r="AH181" s="17"/>
      <c r="AI181" s="17"/>
      <c r="AJ181" s="17"/>
      <c r="AK181" s="17"/>
      <c r="AL181" s="17"/>
      <c r="AM181" s="17"/>
    </row>
    <row r="182" spans="1:39">
      <c r="A182" s="17"/>
      <c r="B182" s="17"/>
      <c r="C182" s="17"/>
      <c r="D182" s="17"/>
      <c r="E182" s="17"/>
      <c r="F182" s="17"/>
      <c r="G182" s="18"/>
      <c r="H182" s="17"/>
      <c r="I182" s="17"/>
      <c r="J182" s="17"/>
      <c r="K182" s="17"/>
      <c r="L182" s="17"/>
      <c r="M182" s="17"/>
      <c r="N182" s="17"/>
      <c r="O182" s="17"/>
      <c r="P182" s="17"/>
      <c r="Q182" s="17"/>
      <c r="R182" s="17"/>
      <c r="S182" s="17"/>
      <c r="T182" s="17"/>
      <c r="U182" s="17"/>
      <c r="V182" s="17"/>
      <c r="W182" s="17"/>
      <c r="X182" s="17"/>
      <c r="Y182" s="17"/>
      <c r="Z182" s="17"/>
      <c r="AA182" s="17"/>
      <c r="AB182" s="17"/>
      <c r="AC182" s="17"/>
      <c r="AD182" s="17"/>
      <c r="AE182" s="17"/>
      <c r="AF182" s="17"/>
      <c r="AG182" s="17"/>
      <c r="AH182" s="17"/>
      <c r="AI182" s="17"/>
      <c r="AJ182" s="17"/>
      <c r="AK182" s="17"/>
      <c r="AL182" s="17"/>
      <c r="AM182" s="17"/>
    </row>
    <row r="183" spans="1:39">
      <c r="A183" s="17"/>
      <c r="B183" s="17"/>
      <c r="C183" s="17"/>
      <c r="D183" s="17"/>
      <c r="E183" s="17"/>
      <c r="F183" s="17"/>
      <c r="G183" s="18"/>
      <c r="H183" s="17"/>
      <c r="I183" s="17"/>
      <c r="J183" s="17"/>
      <c r="K183" s="17"/>
      <c r="L183" s="17"/>
      <c r="M183" s="17"/>
      <c r="N183" s="17"/>
      <c r="O183" s="17"/>
      <c r="P183" s="17"/>
      <c r="Q183" s="17"/>
      <c r="R183" s="17"/>
      <c r="S183" s="17"/>
      <c r="T183" s="17"/>
      <c r="U183" s="17"/>
      <c r="V183" s="17"/>
      <c r="W183" s="17"/>
      <c r="X183" s="17"/>
      <c r="Y183" s="17"/>
      <c r="Z183" s="17"/>
      <c r="AA183" s="17"/>
      <c r="AB183" s="17"/>
      <c r="AC183" s="17"/>
      <c r="AD183" s="17"/>
      <c r="AE183" s="17"/>
      <c r="AF183" s="17"/>
      <c r="AG183" s="17"/>
      <c r="AH183" s="17"/>
      <c r="AI183" s="17"/>
      <c r="AJ183" s="17"/>
      <c r="AK183" s="17"/>
      <c r="AL183" s="17"/>
      <c r="AM183" s="17"/>
    </row>
    <row r="184" spans="1:39">
      <c r="A184" s="17"/>
      <c r="B184" s="17"/>
      <c r="C184" s="17"/>
      <c r="D184" s="17"/>
      <c r="E184" s="17"/>
      <c r="F184" s="17"/>
      <c r="G184" s="18"/>
      <c r="H184" s="17"/>
      <c r="I184" s="17"/>
      <c r="J184" s="17"/>
      <c r="K184" s="17"/>
      <c r="L184" s="17"/>
      <c r="M184" s="17"/>
      <c r="N184" s="17"/>
      <c r="O184" s="17"/>
      <c r="P184" s="17"/>
      <c r="Q184" s="17"/>
      <c r="R184" s="17"/>
      <c r="S184" s="17"/>
      <c r="T184" s="17"/>
      <c r="U184" s="17"/>
      <c r="V184" s="17"/>
      <c r="W184" s="17"/>
      <c r="X184" s="17"/>
      <c r="Y184" s="17"/>
      <c r="Z184" s="17"/>
      <c r="AA184" s="17"/>
      <c r="AB184" s="17"/>
      <c r="AC184" s="17"/>
      <c r="AD184" s="17"/>
      <c r="AE184" s="17"/>
      <c r="AF184" s="17"/>
      <c r="AG184" s="17"/>
      <c r="AH184" s="17"/>
      <c r="AI184" s="17"/>
      <c r="AJ184" s="17"/>
      <c r="AK184" s="17"/>
      <c r="AL184" s="17"/>
      <c r="AM184" s="17"/>
    </row>
    <row r="185" spans="1:39">
      <c r="A185" s="17"/>
      <c r="B185" s="17"/>
      <c r="C185" s="17"/>
      <c r="D185" s="17"/>
      <c r="E185" s="17"/>
      <c r="F185" s="17"/>
      <c r="G185" s="18"/>
      <c r="H185" s="17"/>
      <c r="I185" s="17"/>
      <c r="J185" s="17"/>
      <c r="K185" s="17"/>
      <c r="L185" s="17"/>
      <c r="M185" s="17"/>
      <c r="N185" s="17"/>
      <c r="O185" s="17"/>
      <c r="P185" s="17"/>
      <c r="Q185" s="17"/>
      <c r="R185" s="17"/>
      <c r="S185" s="17"/>
      <c r="T185" s="17"/>
      <c r="U185" s="17"/>
      <c r="V185" s="17"/>
      <c r="W185" s="17"/>
      <c r="X185" s="17"/>
      <c r="Y185" s="17"/>
      <c r="Z185" s="17"/>
      <c r="AA185" s="17"/>
      <c r="AB185" s="17"/>
      <c r="AC185" s="17"/>
      <c r="AD185" s="17"/>
      <c r="AE185" s="17"/>
      <c r="AF185" s="17"/>
      <c r="AG185" s="17"/>
      <c r="AH185" s="17"/>
      <c r="AI185" s="17"/>
      <c r="AJ185" s="17"/>
      <c r="AK185" s="17"/>
      <c r="AL185" s="17"/>
      <c r="AM185" s="17"/>
    </row>
    <row r="186" spans="1:39">
      <c r="A186" s="17"/>
      <c r="B186" s="17"/>
      <c r="C186" s="17"/>
      <c r="D186" s="17"/>
      <c r="E186" s="17"/>
      <c r="F186" s="17"/>
      <c r="G186" s="18"/>
      <c r="H186" s="17"/>
      <c r="I186" s="17"/>
      <c r="J186" s="17"/>
      <c r="K186" s="17"/>
      <c r="L186" s="17"/>
      <c r="M186" s="17"/>
      <c r="N186" s="17"/>
      <c r="O186" s="17"/>
      <c r="P186" s="17"/>
      <c r="Q186" s="17"/>
      <c r="R186" s="17"/>
      <c r="S186" s="17"/>
      <c r="T186" s="17"/>
      <c r="U186" s="17"/>
      <c r="V186" s="17"/>
      <c r="W186" s="17"/>
      <c r="X186" s="17"/>
      <c r="Y186" s="17"/>
      <c r="Z186" s="17"/>
      <c r="AA186" s="17"/>
      <c r="AB186" s="17"/>
      <c r="AC186" s="17"/>
      <c r="AD186" s="17"/>
      <c r="AE186" s="17"/>
      <c r="AF186" s="17"/>
      <c r="AG186" s="17"/>
      <c r="AH186" s="17"/>
      <c r="AI186" s="17"/>
      <c r="AJ186" s="17"/>
      <c r="AK186" s="17"/>
      <c r="AL186" s="17"/>
      <c r="AM186" s="17"/>
    </row>
    <row r="187" spans="1:39">
      <c r="A187" s="17"/>
      <c r="B187" s="17"/>
      <c r="C187" s="17"/>
      <c r="D187" s="17"/>
      <c r="E187" s="17"/>
      <c r="F187" s="17"/>
      <c r="G187" s="18"/>
      <c r="H187" s="17"/>
      <c r="I187" s="17"/>
      <c r="J187" s="17"/>
      <c r="K187" s="17"/>
      <c r="L187" s="17"/>
      <c r="M187" s="17"/>
      <c r="N187" s="17"/>
      <c r="O187" s="17"/>
      <c r="P187" s="17"/>
      <c r="Q187" s="17"/>
      <c r="R187" s="17"/>
      <c r="S187" s="17"/>
      <c r="T187" s="17"/>
      <c r="U187" s="17"/>
      <c r="V187" s="17"/>
      <c r="W187" s="17"/>
      <c r="X187" s="17"/>
      <c r="Y187" s="17"/>
      <c r="Z187" s="17"/>
      <c r="AA187" s="17"/>
      <c r="AB187" s="17"/>
      <c r="AC187" s="17"/>
      <c r="AD187" s="17"/>
      <c r="AE187" s="17"/>
      <c r="AF187" s="17"/>
      <c r="AG187" s="17"/>
      <c r="AH187" s="17"/>
      <c r="AI187" s="17"/>
      <c r="AJ187" s="17"/>
      <c r="AK187" s="17"/>
      <c r="AL187" s="17"/>
      <c r="AM187" s="17"/>
    </row>
    <row r="188" spans="1:39">
      <c r="A188" s="17"/>
      <c r="B188" s="17"/>
      <c r="C188" s="17"/>
      <c r="D188" s="17"/>
      <c r="E188" s="17"/>
      <c r="F188" s="17"/>
      <c r="G188" s="18"/>
      <c r="H188" s="17"/>
      <c r="I188" s="17"/>
      <c r="J188" s="17"/>
      <c r="K188" s="17"/>
      <c r="L188" s="17"/>
      <c r="M188" s="17"/>
      <c r="N188" s="17"/>
      <c r="O188" s="17"/>
      <c r="P188" s="17"/>
      <c r="Q188" s="17"/>
      <c r="R188" s="17"/>
      <c r="S188" s="17"/>
      <c r="T188" s="17"/>
      <c r="U188" s="17"/>
      <c r="V188" s="17"/>
      <c r="W188" s="17"/>
      <c r="X188" s="17"/>
      <c r="Y188" s="17"/>
      <c r="Z188" s="17"/>
      <c r="AA188" s="17"/>
      <c r="AB188" s="17"/>
      <c r="AC188" s="17"/>
      <c r="AD188" s="17"/>
      <c r="AE188" s="17"/>
      <c r="AF188" s="17"/>
      <c r="AG188" s="17"/>
      <c r="AH188" s="17"/>
      <c r="AI188" s="17"/>
      <c r="AJ188" s="17"/>
      <c r="AK188" s="17"/>
      <c r="AL188" s="17"/>
      <c r="AM188" s="17"/>
    </row>
    <row r="189" spans="1:39">
      <c r="A189" s="17"/>
      <c r="B189" s="17"/>
      <c r="C189" s="17"/>
      <c r="D189" s="17"/>
      <c r="E189" s="17"/>
      <c r="F189" s="17"/>
      <c r="G189" s="18"/>
      <c r="H189" s="17"/>
      <c r="I189" s="17"/>
      <c r="J189" s="17"/>
      <c r="K189" s="17"/>
      <c r="L189" s="17"/>
      <c r="M189" s="17"/>
      <c r="N189" s="17"/>
      <c r="O189" s="17"/>
      <c r="P189" s="17"/>
      <c r="Q189" s="17"/>
      <c r="R189" s="17"/>
      <c r="S189" s="17"/>
      <c r="T189" s="17"/>
      <c r="U189" s="17"/>
      <c r="V189" s="17"/>
      <c r="W189" s="17"/>
      <c r="X189" s="17"/>
      <c r="Y189" s="17"/>
      <c r="Z189" s="17"/>
      <c r="AA189" s="17"/>
      <c r="AB189" s="17"/>
      <c r="AC189" s="17"/>
      <c r="AD189" s="17"/>
      <c r="AE189" s="17"/>
      <c r="AF189" s="17"/>
      <c r="AG189" s="17"/>
      <c r="AH189" s="17"/>
      <c r="AI189" s="17"/>
      <c r="AJ189" s="17"/>
      <c r="AK189" s="17"/>
      <c r="AL189" s="17"/>
      <c r="AM189" s="17"/>
    </row>
    <row r="190" spans="1:39">
      <c r="A190" s="17"/>
      <c r="B190" s="17"/>
      <c r="C190" s="17"/>
      <c r="D190" s="17"/>
      <c r="E190" s="17"/>
      <c r="F190" s="17"/>
      <c r="G190" s="18"/>
      <c r="H190" s="17"/>
      <c r="I190" s="17"/>
      <c r="J190" s="17"/>
      <c r="K190" s="17"/>
      <c r="L190" s="17"/>
      <c r="M190" s="17"/>
      <c r="N190" s="17"/>
      <c r="O190" s="17"/>
      <c r="P190" s="17"/>
      <c r="Q190" s="17"/>
      <c r="R190" s="17"/>
      <c r="S190" s="17"/>
      <c r="T190" s="17"/>
      <c r="U190" s="17"/>
      <c r="V190" s="17"/>
      <c r="W190" s="17"/>
      <c r="X190" s="17"/>
      <c r="Y190" s="17"/>
      <c r="Z190" s="17"/>
      <c r="AA190" s="17"/>
      <c r="AB190" s="17"/>
      <c r="AC190" s="17"/>
      <c r="AD190" s="17"/>
      <c r="AE190" s="17"/>
      <c r="AF190" s="17"/>
      <c r="AG190" s="17"/>
      <c r="AH190" s="17"/>
      <c r="AI190" s="17"/>
      <c r="AJ190" s="17"/>
      <c r="AK190" s="17"/>
      <c r="AL190" s="17"/>
      <c r="AM190" s="17"/>
    </row>
    <row r="191" spans="1:39">
      <c r="A191" s="17"/>
      <c r="B191" s="17"/>
      <c r="C191" s="17"/>
      <c r="D191" s="17"/>
      <c r="E191" s="17"/>
      <c r="F191" s="17"/>
      <c r="G191" s="18"/>
      <c r="H191" s="17"/>
      <c r="I191" s="17"/>
      <c r="J191" s="17"/>
      <c r="K191" s="17"/>
      <c r="L191" s="17"/>
      <c r="M191" s="17"/>
      <c r="N191" s="17"/>
      <c r="O191" s="17"/>
      <c r="P191" s="17"/>
      <c r="Q191" s="17"/>
      <c r="R191" s="17"/>
      <c r="S191" s="17"/>
      <c r="T191" s="17"/>
      <c r="U191" s="17"/>
      <c r="V191" s="17"/>
      <c r="W191" s="17"/>
      <c r="X191" s="17"/>
      <c r="Y191" s="17"/>
      <c r="Z191" s="17"/>
      <c r="AA191" s="17"/>
      <c r="AB191" s="17"/>
      <c r="AC191" s="17"/>
      <c r="AD191" s="17"/>
      <c r="AE191" s="17"/>
      <c r="AF191" s="17"/>
      <c r="AG191" s="17"/>
      <c r="AH191" s="17"/>
      <c r="AI191" s="17"/>
      <c r="AJ191" s="17"/>
      <c r="AK191" s="17"/>
      <c r="AL191" s="17"/>
      <c r="AM191" s="17"/>
    </row>
    <row r="192" spans="1:39">
      <c r="A192" s="17"/>
      <c r="B192" s="17"/>
      <c r="C192" s="17"/>
      <c r="D192" s="17"/>
      <c r="E192" s="17"/>
      <c r="F192" s="17"/>
      <c r="G192" s="18"/>
      <c r="H192" s="17"/>
      <c r="I192" s="17"/>
      <c r="J192" s="17"/>
      <c r="K192" s="17"/>
      <c r="L192" s="17"/>
      <c r="M192" s="17"/>
      <c r="N192" s="17"/>
      <c r="O192" s="17"/>
      <c r="P192" s="17"/>
      <c r="Q192" s="17"/>
      <c r="R192" s="17"/>
      <c r="S192" s="17"/>
      <c r="T192" s="17"/>
      <c r="U192" s="17"/>
      <c r="V192" s="17"/>
      <c r="W192" s="17"/>
      <c r="X192" s="17"/>
      <c r="Y192" s="17"/>
      <c r="Z192" s="17"/>
      <c r="AA192" s="17"/>
      <c r="AB192" s="17"/>
      <c r="AC192" s="17"/>
      <c r="AD192" s="17"/>
      <c r="AE192" s="17"/>
      <c r="AF192" s="17"/>
      <c r="AG192" s="17"/>
      <c r="AH192" s="17"/>
      <c r="AI192" s="17"/>
      <c r="AJ192" s="17"/>
      <c r="AK192" s="17"/>
      <c r="AL192" s="17"/>
      <c r="AM192" s="17"/>
    </row>
    <row r="193" spans="1:39">
      <c r="A193" s="17"/>
      <c r="B193" s="17"/>
      <c r="C193" s="17"/>
      <c r="D193" s="17"/>
      <c r="E193" s="17"/>
      <c r="F193" s="17"/>
      <c r="G193" s="18"/>
      <c r="H193" s="17"/>
      <c r="I193" s="17"/>
      <c r="J193" s="17"/>
      <c r="K193" s="17"/>
      <c r="L193" s="17"/>
      <c r="M193" s="17"/>
      <c r="N193" s="17"/>
      <c r="O193" s="17"/>
      <c r="P193" s="17"/>
      <c r="Q193" s="17"/>
      <c r="R193" s="17"/>
      <c r="S193" s="17"/>
      <c r="T193" s="17"/>
      <c r="U193" s="17"/>
      <c r="V193" s="17"/>
      <c r="W193" s="17"/>
      <c r="X193" s="17"/>
      <c r="Y193" s="17"/>
      <c r="Z193" s="17"/>
      <c r="AA193" s="17"/>
      <c r="AB193" s="17"/>
      <c r="AC193" s="17"/>
      <c r="AD193" s="17"/>
      <c r="AE193" s="17"/>
      <c r="AF193" s="17"/>
      <c r="AG193" s="17"/>
      <c r="AH193" s="17"/>
      <c r="AI193" s="17"/>
      <c r="AJ193" s="17"/>
      <c r="AK193" s="17"/>
      <c r="AL193" s="17"/>
      <c r="AM193" s="17"/>
    </row>
    <row r="194" spans="1:39">
      <c r="A194" s="17"/>
      <c r="B194" s="17"/>
      <c r="C194" s="17"/>
      <c r="D194" s="17"/>
      <c r="E194" s="17"/>
      <c r="F194" s="17"/>
      <c r="G194" s="18"/>
      <c r="H194" s="17"/>
      <c r="I194" s="17"/>
      <c r="J194" s="17"/>
      <c r="K194" s="17"/>
      <c r="L194" s="17"/>
      <c r="M194" s="17"/>
      <c r="N194" s="17"/>
      <c r="O194" s="17"/>
      <c r="P194" s="17"/>
      <c r="Q194" s="17"/>
      <c r="R194" s="17"/>
      <c r="S194" s="17"/>
      <c r="T194" s="17"/>
      <c r="U194" s="17"/>
      <c r="V194" s="17"/>
      <c r="W194" s="17"/>
      <c r="X194" s="17"/>
      <c r="Y194" s="17"/>
      <c r="Z194" s="17"/>
      <c r="AA194" s="17"/>
      <c r="AB194" s="17"/>
      <c r="AC194" s="17"/>
      <c r="AD194" s="17"/>
      <c r="AE194" s="17"/>
      <c r="AF194" s="17"/>
      <c r="AG194" s="17"/>
      <c r="AH194" s="17"/>
      <c r="AI194" s="17"/>
      <c r="AJ194" s="17"/>
      <c r="AK194" s="17"/>
      <c r="AL194" s="17"/>
      <c r="AM194" s="17"/>
    </row>
    <row r="195" spans="1:39">
      <c r="A195" s="17"/>
      <c r="B195" s="17"/>
      <c r="C195" s="17"/>
      <c r="D195" s="17"/>
      <c r="E195" s="17"/>
      <c r="F195" s="17"/>
      <c r="G195" s="18"/>
      <c r="H195" s="17"/>
      <c r="I195" s="17"/>
      <c r="J195" s="17"/>
      <c r="K195" s="17"/>
      <c r="L195" s="17"/>
      <c r="M195" s="17"/>
      <c r="N195" s="17"/>
      <c r="O195" s="17"/>
      <c r="P195" s="17"/>
      <c r="Q195" s="17"/>
      <c r="R195" s="17"/>
      <c r="S195" s="17"/>
      <c r="T195" s="17"/>
      <c r="U195" s="17"/>
      <c r="V195" s="17"/>
      <c r="W195" s="17"/>
      <c r="X195" s="17"/>
      <c r="Y195" s="17"/>
      <c r="Z195" s="17"/>
      <c r="AA195" s="17"/>
      <c r="AB195" s="17"/>
      <c r="AC195" s="17"/>
      <c r="AD195" s="17"/>
      <c r="AE195" s="17"/>
      <c r="AF195" s="17"/>
      <c r="AG195" s="17"/>
      <c r="AH195" s="17"/>
      <c r="AI195" s="17"/>
      <c r="AJ195" s="17"/>
      <c r="AK195" s="17"/>
      <c r="AL195" s="17"/>
      <c r="AM195" s="17"/>
    </row>
    <row r="196" spans="1:39">
      <c r="A196" s="17"/>
      <c r="B196" s="17"/>
      <c r="C196" s="17"/>
      <c r="D196" s="17"/>
      <c r="E196" s="17"/>
      <c r="F196" s="17"/>
      <c r="G196" s="18"/>
      <c r="H196" s="17"/>
      <c r="I196" s="17"/>
      <c r="J196" s="17"/>
      <c r="K196" s="17"/>
      <c r="L196" s="17"/>
      <c r="M196" s="17"/>
      <c r="N196" s="17"/>
      <c r="O196" s="17"/>
      <c r="P196" s="17"/>
      <c r="Q196" s="17"/>
      <c r="R196" s="17"/>
      <c r="S196" s="17"/>
      <c r="T196" s="17"/>
      <c r="U196" s="17"/>
      <c r="V196" s="17"/>
      <c r="W196" s="17"/>
      <c r="X196" s="17"/>
      <c r="Y196" s="17"/>
      <c r="Z196" s="17"/>
      <c r="AA196" s="17"/>
      <c r="AB196" s="17"/>
      <c r="AC196" s="17"/>
      <c r="AD196" s="17"/>
      <c r="AE196" s="17"/>
      <c r="AF196" s="17"/>
      <c r="AG196" s="17"/>
      <c r="AH196" s="17"/>
      <c r="AI196" s="17"/>
      <c r="AJ196" s="17"/>
      <c r="AK196" s="17"/>
      <c r="AL196" s="17"/>
      <c r="AM196" s="17"/>
    </row>
    <row r="197" spans="1:39">
      <c r="A197" s="17"/>
      <c r="B197" s="17"/>
      <c r="C197" s="17"/>
      <c r="D197" s="17"/>
      <c r="E197" s="17"/>
      <c r="F197" s="17"/>
      <c r="G197" s="18"/>
      <c r="H197" s="17"/>
      <c r="I197" s="17"/>
      <c r="J197" s="17"/>
      <c r="K197" s="17"/>
      <c r="L197" s="17"/>
      <c r="M197" s="17"/>
      <c r="N197" s="17"/>
      <c r="O197" s="17"/>
      <c r="P197" s="17"/>
      <c r="Q197" s="17"/>
      <c r="R197" s="17"/>
      <c r="S197" s="17"/>
      <c r="T197" s="17"/>
      <c r="U197" s="17"/>
      <c r="V197" s="17"/>
      <c r="W197" s="17"/>
      <c r="X197" s="17"/>
      <c r="Y197" s="17"/>
      <c r="Z197" s="17"/>
      <c r="AA197" s="17"/>
      <c r="AB197" s="17"/>
      <c r="AC197" s="17"/>
      <c r="AD197" s="17"/>
      <c r="AE197" s="17"/>
      <c r="AF197" s="17"/>
      <c r="AG197" s="17"/>
      <c r="AH197" s="17"/>
      <c r="AI197" s="17"/>
      <c r="AJ197" s="17"/>
      <c r="AK197" s="17"/>
      <c r="AL197" s="17"/>
      <c r="AM197" s="17"/>
    </row>
    <row r="198" spans="1:39">
      <c r="A198" s="17"/>
      <c r="B198" s="17"/>
      <c r="C198" s="17"/>
      <c r="D198" s="17"/>
      <c r="E198" s="17"/>
      <c r="F198" s="17"/>
      <c r="G198" s="18"/>
      <c r="H198" s="17"/>
      <c r="I198" s="17"/>
      <c r="J198" s="17"/>
      <c r="K198" s="17"/>
      <c r="L198" s="17"/>
      <c r="M198" s="17"/>
      <c r="N198" s="17"/>
      <c r="O198" s="17"/>
      <c r="P198" s="17"/>
      <c r="Q198" s="17"/>
      <c r="R198" s="17"/>
      <c r="S198" s="17"/>
      <c r="T198" s="17"/>
      <c r="U198" s="17"/>
      <c r="V198" s="17"/>
      <c r="W198" s="17"/>
      <c r="X198" s="17"/>
      <c r="Y198" s="17"/>
      <c r="Z198" s="17"/>
      <c r="AA198" s="17"/>
      <c r="AB198" s="17"/>
      <c r="AC198" s="17"/>
      <c r="AD198" s="17"/>
      <c r="AE198" s="17"/>
      <c r="AF198" s="17"/>
      <c r="AG198" s="17"/>
      <c r="AH198" s="17"/>
      <c r="AI198" s="17"/>
      <c r="AJ198" s="17"/>
      <c r="AK198" s="17"/>
      <c r="AL198" s="17"/>
      <c r="AM198" s="17"/>
    </row>
    <row r="199" spans="1:39">
      <c r="A199" s="17"/>
      <c r="B199" s="17"/>
      <c r="C199" s="17"/>
      <c r="D199" s="17"/>
      <c r="E199" s="17"/>
      <c r="F199" s="17"/>
      <c r="G199" s="18"/>
      <c r="H199" s="17"/>
      <c r="I199" s="17"/>
      <c r="J199" s="17"/>
      <c r="K199" s="17"/>
      <c r="L199" s="17"/>
      <c r="M199" s="17"/>
      <c r="N199" s="17"/>
      <c r="O199" s="17"/>
      <c r="P199" s="17"/>
      <c r="Q199" s="17"/>
      <c r="R199" s="17"/>
      <c r="S199" s="17"/>
      <c r="T199" s="17"/>
      <c r="U199" s="17"/>
      <c r="V199" s="17"/>
      <c r="W199" s="17"/>
      <c r="X199" s="17"/>
      <c r="Y199" s="17"/>
      <c r="Z199" s="17"/>
      <c r="AA199" s="17"/>
      <c r="AB199" s="17"/>
      <c r="AC199" s="17"/>
      <c r="AD199" s="17"/>
      <c r="AE199" s="17"/>
      <c r="AF199" s="17"/>
      <c r="AG199" s="17"/>
      <c r="AH199" s="17"/>
      <c r="AI199" s="17"/>
      <c r="AJ199" s="17"/>
      <c r="AK199" s="17"/>
      <c r="AL199" s="17"/>
      <c r="AM199" s="17"/>
    </row>
    <row r="200" spans="1:39">
      <c r="A200" s="17"/>
      <c r="B200" s="17"/>
      <c r="C200" s="17"/>
      <c r="D200" s="17"/>
      <c r="E200" s="17"/>
      <c r="F200" s="17"/>
      <c r="G200" s="18"/>
      <c r="H200" s="17"/>
      <c r="I200" s="17"/>
      <c r="J200" s="17"/>
      <c r="K200" s="17"/>
      <c r="L200" s="17"/>
      <c r="M200" s="17"/>
      <c r="N200" s="17"/>
      <c r="O200" s="17"/>
      <c r="P200" s="17"/>
      <c r="Q200" s="17"/>
      <c r="R200" s="17"/>
      <c r="S200" s="17"/>
      <c r="T200" s="17"/>
      <c r="U200" s="17"/>
      <c r="V200" s="17"/>
      <c r="W200" s="17"/>
      <c r="X200" s="17"/>
      <c r="Y200" s="17"/>
      <c r="Z200" s="17"/>
      <c r="AA200" s="17"/>
      <c r="AB200" s="17"/>
      <c r="AC200" s="17"/>
      <c r="AD200" s="17"/>
      <c r="AE200" s="17"/>
      <c r="AF200" s="17"/>
      <c r="AG200" s="17"/>
      <c r="AH200" s="17"/>
      <c r="AI200" s="17"/>
      <c r="AJ200" s="17"/>
      <c r="AK200" s="17"/>
      <c r="AL200" s="17"/>
      <c r="AM200" s="17"/>
    </row>
    <row r="201" spans="1:39">
      <c r="A201" s="17"/>
      <c r="B201" s="17"/>
      <c r="C201" s="17"/>
      <c r="D201" s="17"/>
      <c r="E201" s="17"/>
      <c r="F201" s="17"/>
      <c r="G201" s="18"/>
      <c r="H201" s="17"/>
      <c r="I201" s="17"/>
      <c r="J201" s="17"/>
      <c r="K201" s="17"/>
      <c r="L201" s="17"/>
      <c r="M201" s="17"/>
      <c r="N201" s="17"/>
      <c r="O201" s="17"/>
      <c r="P201" s="17"/>
      <c r="Q201" s="17"/>
      <c r="R201" s="17"/>
      <c r="S201" s="17"/>
      <c r="T201" s="17"/>
      <c r="U201" s="17"/>
      <c r="V201" s="17"/>
      <c r="W201" s="17"/>
      <c r="X201" s="17"/>
      <c r="Y201" s="17"/>
      <c r="Z201" s="17"/>
      <c r="AA201" s="17"/>
      <c r="AB201" s="17"/>
      <c r="AC201" s="17"/>
      <c r="AD201" s="17"/>
      <c r="AE201" s="17"/>
      <c r="AF201" s="17"/>
      <c r="AG201" s="17"/>
      <c r="AH201" s="17"/>
      <c r="AI201" s="17"/>
      <c r="AJ201" s="17"/>
      <c r="AK201" s="17"/>
      <c r="AL201" s="17"/>
      <c r="AM201" s="17"/>
    </row>
    <row r="202" spans="1:39">
      <c r="A202" s="17"/>
      <c r="B202" s="17"/>
      <c r="C202" s="17"/>
      <c r="D202" s="17"/>
      <c r="E202" s="17"/>
      <c r="F202" s="17"/>
      <c r="G202" s="18"/>
      <c r="H202" s="17"/>
      <c r="I202" s="17"/>
      <c r="J202" s="17"/>
      <c r="K202" s="17"/>
      <c r="L202" s="17"/>
      <c r="M202" s="17"/>
      <c r="N202" s="17"/>
      <c r="O202" s="17"/>
      <c r="P202" s="17"/>
      <c r="Q202" s="17"/>
      <c r="R202" s="17"/>
      <c r="S202" s="17"/>
      <c r="T202" s="17"/>
      <c r="U202" s="17"/>
      <c r="V202" s="17"/>
      <c r="W202" s="17"/>
      <c r="X202" s="17"/>
      <c r="Y202" s="17"/>
      <c r="Z202" s="17"/>
      <c r="AA202" s="17"/>
      <c r="AB202" s="17"/>
      <c r="AC202" s="17"/>
      <c r="AD202" s="17"/>
      <c r="AE202" s="17"/>
      <c r="AF202" s="17"/>
      <c r="AG202" s="17"/>
      <c r="AH202" s="17"/>
      <c r="AI202" s="17"/>
      <c r="AJ202" s="17"/>
      <c r="AK202" s="17"/>
      <c r="AL202" s="17"/>
      <c r="AM202" s="17"/>
    </row>
    <row r="203" spans="1:39">
      <c r="A203" s="17"/>
      <c r="B203" s="17"/>
      <c r="C203" s="17"/>
      <c r="D203" s="17"/>
      <c r="E203" s="17"/>
      <c r="F203" s="17"/>
      <c r="G203" s="18"/>
      <c r="H203" s="17"/>
      <c r="I203" s="17"/>
      <c r="J203" s="17"/>
      <c r="K203" s="17"/>
      <c r="L203" s="17"/>
      <c r="M203" s="17"/>
      <c r="N203" s="17"/>
      <c r="O203" s="17"/>
      <c r="P203" s="17"/>
      <c r="Q203" s="17"/>
      <c r="R203" s="17"/>
      <c r="S203" s="17"/>
      <c r="T203" s="17"/>
      <c r="U203" s="17"/>
      <c r="V203" s="17"/>
      <c r="W203" s="17"/>
      <c r="X203" s="17"/>
      <c r="Y203" s="17"/>
      <c r="Z203" s="17"/>
      <c r="AA203" s="17"/>
      <c r="AB203" s="17"/>
      <c r="AC203" s="17"/>
      <c r="AD203" s="17"/>
      <c r="AE203" s="17"/>
      <c r="AF203" s="17"/>
      <c r="AG203" s="17"/>
      <c r="AH203" s="17"/>
      <c r="AI203" s="17"/>
      <c r="AJ203" s="17"/>
      <c r="AK203" s="17"/>
      <c r="AL203" s="17"/>
      <c r="AM203" s="17"/>
    </row>
    <row r="204" spans="1:39">
      <c r="A204" s="17"/>
      <c r="B204" s="17"/>
      <c r="C204" s="17"/>
      <c r="D204" s="17"/>
      <c r="E204" s="17"/>
      <c r="F204" s="17"/>
      <c r="G204" s="18"/>
      <c r="H204" s="17"/>
      <c r="I204" s="17"/>
      <c r="J204" s="17"/>
      <c r="K204" s="17"/>
      <c r="L204" s="17"/>
      <c r="M204" s="17"/>
      <c r="N204" s="17"/>
      <c r="O204" s="17"/>
      <c r="P204" s="17"/>
      <c r="Q204" s="17"/>
      <c r="R204" s="17"/>
      <c r="S204" s="17"/>
      <c r="T204" s="17"/>
      <c r="U204" s="17"/>
      <c r="V204" s="17"/>
      <c r="W204" s="17"/>
      <c r="X204" s="17"/>
      <c r="Y204" s="17"/>
      <c r="Z204" s="17"/>
      <c r="AA204" s="17"/>
      <c r="AB204" s="17"/>
      <c r="AC204" s="17"/>
      <c r="AD204" s="17"/>
      <c r="AE204" s="17"/>
      <c r="AF204" s="17"/>
      <c r="AG204" s="17"/>
      <c r="AH204" s="17"/>
      <c r="AI204" s="17"/>
      <c r="AJ204" s="17"/>
      <c r="AK204" s="17"/>
      <c r="AL204" s="17"/>
      <c r="AM204" s="17"/>
    </row>
    <row r="205" spans="1:39">
      <c r="A205" s="17"/>
      <c r="B205" s="17"/>
      <c r="C205" s="17"/>
      <c r="D205" s="17"/>
      <c r="E205" s="17"/>
      <c r="F205" s="17"/>
      <c r="G205" s="18"/>
      <c r="H205" s="17"/>
      <c r="I205" s="17"/>
      <c r="J205" s="17"/>
      <c r="K205" s="17"/>
      <c r="L205" s="17"/>
      <c r="M205" s="17"/>
      <c r="N205" s="17"/>
      <c r="O205" s="17"/>
      <c r="P205" s="17"/>
      <c r="Q205" s="17"/>
      <c r="R205" s="17"/>
      <c r="S205" s="17"/>
      <c r="T205" s="17"/>
      <c r="U205" s="17"/>
      <c r="V205" s="17"/>
      <c r="W205" s="17"/>
      <c r="X205" s="17"/>
      <c r="Y205" s="17"/>
      <c r="Z205" s="17"/>
      <c r="AA205" s="17"/>
      <c r="AB205" s="17"/>
      <c r="AC205" s="17"/>
      <c r="AD205" s="17"/>
      <c r="AE205" s="17"/>
      <c r="AF205" s="17"/>
      <c r="AG205" s="17"/>
      <c r="AH205" s="17"/>
      <c r="AI205" s="17"/>
      <c r="AJ205" s="17"/>
      <c r="AK205" s="17"/>
      <c r="AL205" s="17"/>
      <c r="AM205" s="17"/>
    </row>
    <row r="206" spans="1:39">
      <c r="A206" s="17"/>
      <c r="B206" s="17"/>
      <c r="C206" s="17"/>
      <c r="D206" s="17"/>
      <c r="E206" s="17"/>
      <c r="F206" s="17"/>
      <c r="G206" s="18"/>
      <c r="H206" s="17"/>
      <c r="I206" s="17"/>
      <c r="J206" s="17"/>
      <c r="K206" s="17"/>
      <c r="L206" s="17"/>
      <c r="M206" s="17"/>
      <c r="N206" s="17"/>
      <c r="O206" s="17"/>
      <c r="P206" s="17"/>
      <c r="Q206" s="17"/>
      <c r="R206" s="17"/>
      <c r="S206" s="17"/>
      <c r="T206" s="17"/>
      <c r="U206" s="17"/>
      <c r="V206" s="17"/>
      <c r="W206" s="17"/>
      <c r="X206" s="17"/>
      <c r="Y206" s="17"/>
      <c r="Z206" s="17"/>
      <c r="AA206" s="17"/>
      <c r="AB206" s="17"/>
      <c r="AC206" s="17"/>
      <c r="AD206" s="17"/>
      <c r="AE206" s="17"/>
      <c r="AF206" s="17"/>
      <c r="AG206" s="17"/>
      <c r="AH206" s="17"/>
      <c r="AI206" s="17"/>
      <c r="AJ206" s="17"/>
      <c r="AK206" s="17"/>
      <c r="AL206" s="17"/>
      <c r="AM206" s="17"/>
    </row>
    <row r="207" spans="1:39">
      <c r="A207" s="17"/>
      <c r="B207" s="17"/>
      <c r="C207" s="17"/>
      <c r="D207" s="17"/>
      <c r="E207" s="17"/>
      <c r="F207" s="17"/>
      <c r="G207" s="18"/>
      <c r="H207" s="17"/>
      <c r="I207" s="17"/>
      <c r="J207" s="17"/>
      <c r="K207" s="17"/>
      <c r="L207" s="17"/>
      <c r="M207" s="17"/>
      <c r="N207" s="17"/>
      <c r="O207" s="17"/>
      <c r="P207" s="17"/>
      <c r="Q207" s="17"/>
      <c r="R207" s="17"/>
      <c r="S207" s="17"/>
      <c r="T207" s="17"/>
      <c r="U207" s="17"/>
      <c r="V207" s="17"/>
      <c r="W207" s="17"/>
      <c r="X207" s="17"/>
      <c r="Y207" s="17"/>
      <c r="Z207" s="17"/>
      <c r="AA207" s="17"/>
      <c r="AB207" s="17"/>
      <c r="AC207" s="17"/>
      <c r="AD207" s="17"/>
      <c r="AE207" s="17"/>
      <c r="AF207" s="17"/>
      <c r="AG207" s="17"/>
      <c r="AH207" s="17"/>
      <c r="AI207" s="17"/>
      <c r="AJ207" s="17"/>
      <c r="AK207" s="17"/>
      <c r="AL207" s="17"/>
      <c r="AM207" s="17"/>
    </row>
    <row r="208" spans="1:39">
      <c r="A208" s="17"/>
      <c r="B208" s="17"/>
      <c r="C208" s="17"/>
      <c r="D208" s="17"/>
      <c r="E208" s="17"/>
      <c r="F208" s="17"/>
      <c r="G208" s="18"/>
      <c r="H208" s="17"/>
      <c r="I208" s="17"/>
      <c r="J208" s="17"/>
      <c r="K208" s="17"/>
      <c r="L208" s="17"/>
      <c r="M208" s="17"/>
      <c r="N208" s="17"/>
      <c r="O208" s="17"/>
      <c r="P208" s="17"/>
      <c r="Q208" s="17"/>
      <c r="R208" s="17"/>
      <c r="S208" s="17"/>
      <c r="T208" s="17"/>
      <c r="U208" s="17"/>
      <c r="V208" s="17"/>
      <c r="W208" s="17"/>
      <c r="X208" s="17"/>
      <c r="Y208" s="17"/>
      <c r="Z208" s="17"/>
      <c r="AA208" s="17"/>
      <c r="AB208" s="17"/>
      <c r="AC208" s="17"/>
      <c r="AD208" s="17"/>
      <c r="AE208" s="17"/>
      <c r="AF208" s="17"/>
      <c r="AG208" s="17"/>
      <c r="AH208" s="17"/>
      <c r="AI208" s="17"/>
      <c r="AJ208" s="17"/>
      <c r="AK208" s="17"/>
      <c r="AL208" s="17"/>
      <c r="AM208" s="17"/>
    </row>
    <row r="209" spans="1:39">
      <c r="A209" s="17"/>
      <c r="B209" s="17"/>
      <c r="C209" s="17"/>
      <c r="D209" s="17"/>
      <c r="E209" s="17"/>
      <c r="F209" s="17"/>
      <c r="G209" s="18"/>
      <c r="H209" s="17"/>
      <c r="I209" s="17"/>
      <c r="J209" s="17"/>
      <c r="K209" s="17"/>
      <c r="L209" s="17"/>
      <c r="M209" s="17"/>
      <c r="N209" s="17"/>
      <c r="O209" s="17"/>
      <c r="P209" s="17"/>
      <c r="Q209" s="17"/>
      <c r="R209" s="17"/>
      <c r="S209" s="17"/>
      <c r="T209" s="17"/>
      <c r="U209" s="17"/>
      <c r="V209" s="17"/>
      <c r="W209" s="17"/>
      <c r="X209" s="17"/>
      <c r="Y209" s="17"/>
      <c r="Z209" s="17"/>
      <c r="AA209" s="17"/>
      <c r="AB209" s="17"/>
      <c r="AC209" s="17"/>
      <c r="AD209" s="17"/>
      <c r="AE209" s="17"/>
      <c r="AF209" s="17"/>
      <c r="AG209" s="17"/>
      <c r="AH209" s="17"/>
      <c r="AI209" s="17"/>
      <c r="AJ209" s="17"/>
      <c r="AK209" s="17"/>
      <c r="AL209" s="17"/>
      <c r="AM209" s="17"/>
    </row>
    <row r="210" spans="1:39">
      <c r="A210" s="17"/>
      <c r="B210" s="17"/>
      <c r="C210" s="17"/>
      <c r="D210" s="17"/>
      <c r="E210" s="17"/>
      <c r="F210" s="17"/>
      <c r="G210" s="18"/>
      <c r="H210" s="17"/>
      <c r="I210" s="17"/>
      <c r="J210" s="17"/>
      <c r="K210" s="17"/>
      <c r="L210" s="17"/>
      <c r="M210" s="17"/>
      <c r="N210" s="17"/>
      <c r="O210" s="17"/>
      <c r="P210" s="17"/>
      <c r="Q210" s="17"/>
      <c r="R210" s="17"/>
      <c r="S210" s="17"/>
      <c r="T210" s="17"/>
      <c r="U210" s="17"/>
      <c r="V210" s="17"/>
      <c r="W210" s="17"/>
      <c r="X210" s="17"/>
      <c r="Y210" s="17"/>
      <c r="Z210" s="17"/>
      <c r="AA210" s="17"/>
      <c r="AB210" s="17"/>
      <c r="AC210" s="17"/>
      <c r="AD210" s="17"/>
      <c r="AE210" s="17"/>
      <c r="AF210" s="17"/>
      <c r="AG210" s="17"/>
      <c r="AH210" s="17"/>
      <c r="AI210" s="17"/>
      <c r="AJ210" s="17"/>
      <c r="AK210" s="17"/>
      <c r="AL210" s="17"/>
      <c r="AM210" s="17"/>
    </row>
    <row r="211" spans="1:39">
      <c r="A211" s="17"/>
      <c r="B211" s="17"/>
      <c r="C211" s="17"/>
      <c r="D211" s="17"/>
      <c r="E211" s="17"/>
      <c r="F211" s="17"/>
      <c r="G211" s="18"/>
      <c r="H211" s="17"/>
      <c r="I211" s="17"/>
      <c r="J211" s="17"/>
      <c r="K211" s="17"/>
      <c r="L211" s="17"/>
      <c r="M211" s="17"/>
      <c r="N211" s="17"/>
      <c r="O211" s="17"/>
      <c r="P211" s="17"/>
      <c r="Q211" s="17"/>
      <c r="R211" s="17"/>
      <c r="S211" s="17"/>
      <c r="T211" s="17"/>
      <c r="U211" s="17"/>
      <c r="V211" s="17"/>
      <c r="W211" s="17"/>
      <c r="X211" s="17"/>
      <c r="Y211" s="17"/>
      <c r="Z211" s="17"/>
      <c r="AA211" s="17"/>
      <c r="AB211" s="17"/>
      <c r="AC211" s="17"/>
      <c r="AD211" s="17"/>
      <c r="AE211" s="17"/>
      <c r="AF211" s="17"/>
      <c r="AG211" s="17"/>
      <c r="AH211" s="17"/>
      <c r="AI211" s="17"/>
      <c r="AJ211" s="17"/>
      <c r="AK211" s="17"/>
      <c r="AL211" s="17"/>
      <c r="AM211" s="17"/>
    </row>
    <row r="212" spans="1:39">
      <c r="A212" s="17"/>
      <c r="B212" s="17"/>
      <c r="C212" s="17"/>
      <c r="D212" s="17"/>
      <c r="E212" s="17"/>
      <c r="F212" s="17"/>
      <c r="G212" s="18"/>
      <c r="H212" s="17"/>
      <c r="I212" s="17"/>
      <c r="J212" s="17"/>
      <c r="K212" s="17"/>
      <c r="L212" s="17"/>
      <c r="M212" s="17"/>
      <c r="N212" s="17"/>
      <c r="O212" s="17"/>
      <c r="P212" s="17"/>
      <c r="Q212" s="17"/>
      <c r="R212" s="17"/>
      <c r="S212" s="17"/>
      <c r="T212" s="17"/>
      <c r="U212" s="17"/>
      <c r="V212" s="17"/>
      <c r="W212" s="17"/>
      <c r="X212" s="17"/>
      <c r="Y212" s="17"/>
      <c r="Z212" s="17"/>
      <c r="AA212" s="17"/>
      <c r="AB212" s="17"/>
      <c r="AC212" s="17"/>
      <c r="AD212" s="17"/>
      <c r="AE212" s="17"/>
      <c r="AF212" s="17"/>
      <c r="AG212" s="17"/>
      <c r="AH212" s="17"/>
      <c r="AI212" s="17"/>
      <c r="AJ212" s="17"/>
      <c r="AK212" s="17"/>
      <c r="AL212" s="17"/>
      <c r="AM212" s="17"/>
    </row>
    <row r="213" spans="1:39">
      <c r="A213" s="17"/>
      <c r="B213" s="17"/>
      <c r="C213" s="17"/>
      <c r="D213" s="17"/>
      <c r="E213" s="17"/>
      <c r="F213" s="17"/>
      <c r="G213" s="18"/>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17"/>
      <c r="AH213" s="17"/>
      <c r="AI213" s="17"/>
      <c r="AJ213" s="17"/>
      <c r="AK213" s="17"/>
      <c r="AL213" s="17"/>
      <c r="AM213" s="17"/>
    </row>
    <row r="214" spans="1:39">
      <c r="A214" s="17"/>
      <c r="B214" s="17"/>
      <c r="C214" s="17"/>
      <c r="D214" s="17"/>
      <c r="E214" s="17"/>
      <c r="F214" s="17"/>
      <c r="G214" s="18"/>
      <c r="H214" s="17"/>
      <c r="I214" s="17"/>
      <c r="J214" s="17"/>
      <c r="K214" s="17"/>
      <c r="L214" s="17"/>
      <c r="M214" s="17"/>
      <c r="N214" s="17"/>
      <c r="O214" s="17"/>
      <c r="P214" s="17"/>
      <c r="Q214" s="17"/>
      <c r="R214" s="17"/>
      <c r="S214" s="17"/>
      <c r="T214" s="17"/>
      <c r="U214" s="17"/>
      <c r="V214" s="17"/>
      <c r="W214" s="17"/>
      <c r="X214" s="17"/>
      <c r="Y214" s="17"/>
      <c r="Z214" s="17"/>
      <c r="AA214" s="17"/>
      <c r="AB214" s="17"/>
      <c r="AC214" s="17"/>
      <c r="AD214" s="17"/>
      <c r="AE214" s="17"/>
      <c r="AF214" s="17"/>
      <c r="AG214" s="17"/>
      <c r="AH214" s="17"/>
      <c r="AI214" s="17"/>
      <c r="AJ214" s="17"/>
      <c r="AK214" s="17"/>
      <c r="AL214" s="17"/>
      <c r="AM214" s="17"/>
    </row>
    <row r="215" spans="1:39">
      <c r="A215" s="17"/>
      <c r="B215" s="17"/>
      <c r="C215" s="17"/>
      <c r="D215" s="17"/>
      <c r="E215" s="17"/>
      <c r="F215" s="17"/>
      <c r="G215" s="18"/>
      <c r="H215" s="17"/>
      <c r="I215" s="17"/>
      <c r="J215" s="17"/>
      <c r="K215" s="17"/>
      <c r="L215" s="17"/>
      <c r="M215" s="17"/>
      <c r="N215" s="17"/>
      <c r="O215" s="17"/>
      <c r="P215" s="17"/>
      <c r="Q215" s="17"/>
      <c r="R215" s="17"/>
      <c r="S215" s="17"/>
      <c r="T215" s="17"/>
      <c r="U215" s="17"/>
      <c r="V215" s="17"/>
      <c r="W215" s="17"/>
      <c r="X215" s="17"/>
      <c r="Y215" s="17"/>
      <c r="Z215" s="17"/>
      <c r="AA215" s="17"/>
      <c r="AB215" s="17"/>
      <c r="AC215" s="17"/>
      <c r="AD215" s="17"/>
      <c r="AE215" s="17"/>
      <c r="AF215" s="17"/>
      <c r="AG215" s="17"/>
      <c r="AH215" s="17"/>
      <c r="AI215" s="17"/>
      <c r="AJ215" s="17"/>
      <c r="AK215" s="17"/>
      <c r="AL215" s="17"/>
      <c r="AM215" s="17"/>
    </row>
    <row r="216" spans="1:39">
      <c r="A216" s="17"/>
      <c r="B216" s="17"/>
      <c r="C216" s="17"/>
      <c r="D216" s="17"/>
      <c r="E216" s="17"/>
      <c r="F216" s="17"/>
      <c r="G216" s="18"/>
      <c r="H216" s="17"/>
      <c r="I216" s="17"/>
      <c r="J216" s="17"/>
      <c r="K216" s="17"/>
      <c r="L216" s="17"/>
      <c r="M216" s="17"/>
      <c r="N216" s="17"/>
      <c r="O216" s="17"/>
      <c r="P216" s="17"/>
      <c r="Q216" s="17"/>
      <c r="R216" s="17"/>
      <c r="S216" s="17"/>
      <c r="T216" s="17"/>
      <c r="U216" s="17"/>
      <c r="V216" s="17"/>
      <c r="W216" s="17"/>
      <c r="X216" s="17"/>
      <c r="Y216" s="17"/>
      <c r="Z216" s="17"/>
      <c r="AA216" s="17"/>
      <c r="AB216" s="17"/>
      <c r="AC216" s="17"/>
      <c r="AD216" s="17"/>
      <c r="AE216" s="17"/>
      <c r="AF216" s="17"/>
      <c r="AG216" s="17"/>
      <c r="AH216" s="17"/>
      <c r="AI216" s="17"/>
      <c r="AJ216" s="17"/>
      <c r="AK216" s="17"/>
      <c r="AL216" s="17"/>
      <c r="AM216" s="17"/>
    </row>
    <row r="217" spans="1:39">
      <c r="A217" s="17"/>
      <c r="B217" s="17"/>
      <c r="C217" s="17"/>
      <c r="D217" s="17"/>
      <c r="E217" s="17"/>
      <c r="F217" s="17"/>
      <c r="G217" s="18"/>
      <c r="H217" s="17"/>
      <c r="I217" s="17"/>
      <c r="J217" s="17"/>
      <c r="K217" s="17"/>
      <c r="L217" s="17"/>
      <c r="M217" s="17"/>
      <c r="N217" s="17"/>
      <c r="O217" s="17"/>
      <c r="P217" s="17"/>
      <c r="Q217" s="17"/>
      <c r="R217" s="17"/>
      <c r="S217" s="17"/>
      <c r="T217" s="17"/>
      <c r="U217" s="17"/>
      <c r="V217" s="17"/>
      <c r="W217" s="17"/>
      <c r="X217" s="17"/>
      <c r="Y217" s="17"/>
      <c r="Z217" s="17"/>
      <c r="AA217" s="17"/>
      <c r="AB217" s="17"/>
      <c r="AC217" s="17"/>
      <c r="AD217" s="17"/>
      <c r="AE217" s="17"/>
      <c r="AF217" s="17"/>
      <c r="AG217" s="17"/>
      <c r="AH217" s="17"/>
      <c r="AI217" s="17"/>
      <c r="AJ217" s="17"/>
      <c r="AK217" s="17"/>
      <c r="AL217" s="17"/>
      <c r="AM217" s="17"/>
    </row>
    <row r="218" spans="1:39">
      <c r="A218" s="17"/>
      <c r="B218" s="17"/>
      <c r="C218" s="17"/>
      <c r="D218" s="17"/>
      <c r="E218" s="17"/>
      <c r="F218" s="17"/>
      <c r="G218" s="18"/>
      <c r="H218" s="17"/>
      <c r="I218" s="17"/>
      <c r="J218" s="17"/>
      <c r="K218" s="17"/>
      <c r="L218" s="17"/>
      <c r="M218" s="17"/>
      <c r="N218" s="17"/>
      <c r="O218" s="17"/>
      <c r="P218" s="17"/>
      <c r="Q218" s="17"/>
      <c r="R218" s="17"/>
      <c r="S218" s="17"/>
      <c r="T218" s="17"/>
      <c r="U218" s="17"/>
      <c r="V218" s="17"/>
      <c r="W218" s="17"/>
      <c r="X218" s="17"/>
      <c r="Y218" s="17"/>
      <c r="Z218" s="17"/>
      <c r="AA218" s="17"/>
      <c r="AB218" s="17"/>
      <c r="AC218" s="17"/>
      <c r="AD218" s="17"/>
      <c r="AE218" s="17"/>
      <c r="AF218" s="17"/>
      <c r="AG218" s="17"/>
      <c r="AH218" s="17"/>
      <c r="AI218" s="17"/>
      <c r="AJ218" s="17"/>
      <c r="AK218" s="17"/>
      <c r="AL218" s="17"/>
      <c r="AM218" s="17"/>
    </row>
    <row r="219" spans="1:39">
      <c r="A219" s="17"/>
      <c r="B219" s="17"/>
      <c r="C219" s="17"/>
      <c r="D219" s="17"/>
      <c r="E219" s="17"/>
      <c r="F219" s="17"/>
      <c r="G219" s="18"/>
      <c r="H219" s="17"/>
      <c r="I219" s="17"/>
      <c r="J219" s="17"/>
      <c r="K219" s="17"/>
      <c r="L219" s="17"/>
      <c r="M219" s="17"/>
      <c r="N219" s="17"/>
      <c r="O219" s="17"/>
      <c r="P219" s="17"/>
      <c r="Q219" s="17"/>
      <c r="R219" s="17"/>
      <c r="S219" s="17"/>
      <c r="T219" s="17"/>
      <c r="U219" s="17"/>
      <c r="V219" s="17"/>
      <c r="W219" s="17"/>
      <c r="X219" s="17"/>
      <c r="Y219" s="17"/>
      <c r="Z219" s="17"/>
      <c r="AA219" s="17"/>
      <c r="AB219" s="17"/>
      <c r="AC219" s="17"/>
      <c r="AD219" s="17"/>
      <c r="AE219" s="17"/>
      <c r="AF219" s="17"/>
      <c r="AG219" s="17"/>
      <c r="AH219" s="17"/>
      <c r="AI219" s="17"/>
      <c r="AJ219" s="17"/>
      <c r="AK219" s="17"/>
      <c r="AL219" s="17"/>
      <c r="AM219" s="17"/>
    </row>
  </sheetData>
  <sheetProtection selectLockedCells="1"/>
  <sortState xmlns:xlrd2="http://schemas.microsoft.com/office/spreadsheetml/2017/richdata2" ref="AV54:BA81">
    <sortCondition descending="1" ref="BA54:BA81"/>
    <sortCondition descending="1" ref="AZ54:AZ81"/>
    <sortCondition ref="AX54:AX81"/>
  </sortState>
  <mergeCells count="17">
    <mergeCell ref="B89:B95"/>
    <mergeCell ref="K44:AN45"/>
    <mergeCell ref="B63:B68"/>
    <mergeCell ref="L2:M2"/>
    <mergeCell ref="A1:M1"/>
    <mergeCell ref="D16:F17"/>
    <mergeCell ref="B54:B57"/>
    <mergeCell ref="C120:G122"/>
    <mergeCell ref="D10:F10"/>
    <mergeCell ref="D11:F11"/>
    <mergeCell ref="K69:AN70"/>
    <mergeCell ref="C144:F145"/>
    <mergeCell ref="J128:K128"/>
    <mergeCell ref="D12:F13"/>
    <mergeCell ref="H24:I26"/>
    <mergeCell ref="H30:I31"/>
    <mergeCell ref="H28:I29"/>
  </mergeCells>
  <phoneticPr fontId="5" type="noConversion"/>
  <conditionalFormatting sqref="F103">
    <cfRule type="cellIs" dxfId="115" priority="84" stopIfTrue="1" operator="greaterThanOrEqual">
      <formula>F102</formula>
    </cfRule>
  </conditionalFormatting>
  <conditionalFormatting sqref="G105:H105">
    <cfRule type="expression" dxfId="114" priority="86" stopIfTrue="1">
      <formula>F101="Option A"</formula>
    </cfRule>
  </conditionalFormatting>
  <conditionalFormatting sqref="F105">
    <cfRule type="expression" dxfId="113" priority="87" stopIfTrue="1">
      <formula>F101="Option A"</formula>
    </cfRule>
  </conditionalFormatting>
  <conditionalFormatting sqref="F109">
    <cfRule type="expression" dxfId="112" priority="88" stopIfTrue="1">
      <formula>F101="Option A"</formula>
    </cfRule>
  </conditionalFormatting>
  <conditionalFormatting sqref="E109">
    <cfRule type="expression" dxfId="111" priority="90" stopIfTrue="1">
      <formula>F101="Option A"</formula>
    </cfRule>
  </conditionalFormatting>
  <conditionalFormatting sqref="F35">
    <cfRule type="cellIs" dxfId="110" priority="91" stopIfTrue="1" operator="greaterThan">
      <formula>200</formula>
    </cfRule>
  </conditionalFormatting>
  <conditionalFormatting sqref="D116:F119">
    <cfRule type="cellIs" dxfId="109" priority="93" stopIfTrue="1" operator="notBetween">
      <formula>10</formula>
      <formula>80</formula>
    </cfRule>
  </conditionalFormatting>
  <conditionalFormatting sqref="G109:H109">
    <cfRule type="expression" dxfId="108" priority="81">
      <formula>F101="Option A"</formula>
    </cfRule>
  </conditionalFormatting>
  <conditionalFormatting sqref="E113:F113">
    <cfRule type="expression" dxfId="107" priority="78">
      <formula>F101="Option A"</formula>
    </cfRule>
  </conditionalFormatting>
  <conditionalFormatting sqref="F36:F37">
    <cfRule type="cellIs" dxfId="106" priority="52" operator="equal">
      <formula>"NA"</formula>
    </cfRule>
    <cfRule type="cellIs" dxfId="105" priority="58" operator="equal">
      <formula>"""NA"""</formula>
    </cfRule>
  </conditionalFormatting>
  <conditionalFormatting sqref="F80">
    <cfRule type="cellIs" dxfId="104" priority="98" operator="lessThan">
      <formula>0.25</formula>
    </cfRule>
  </conditionalFormatting>
  <conditionalFormatting sqref="F83">
    <cfRule type="cellIs" dxfId="103" priority="97" operator="lessThan">
      <formula>$F$82</formula>
    </cfRule>
  </conditionalFormatting>
  <conditionalFormatting sqref="F85">
    <cfRule type="cellIs" dxfId="102" priority="46" operator="lessThan">
      <formula>1.1</formula>
    </cfRule>
    <cfRule type="cellIs" dxfId="101" priority="48" operator="between">
      <formula>1.1</formula>
      <formula>1.3</formula>
    </cfRule>
  </conditionalFormatting>
  <conditionalFormatting sqref="G89:I89 G91:I96">
    <cfRule type="expression" dxfId="100" priority="43">
      <formula>#REF!="Yes"</formula>
    </cfRule>
  </conditionalFormatting>
  <conditionalFormatting sqref="F89 F92">
    <cfRule type="cellIs" dxfId="99" priority="36" operator="greaterThanOrEqual">
      <formula>$F$87</formula>
    </cfRule>
  </conditionalFormatting>
  <conditionalFormatting sqref="F93 F98">
    <cfRule type="cellIs" dxfId="98" priority="38" operator="lessThan">
      <formula>1.1</formula>
    </cfRule>
  </conditionalFormatting>
  <conditionalFormatting sqref="F52">
    <cfRule type="cellIs" dxfId="97" priority="34" operator="lessThan">
      <formula>$F$48</formula>
    </cfRule>
  </conditionalFormatting>
  <conditionalFormatting sqref="F86">
    <cfRule type="expression" dxfId="96" priority="33">
      <formula>#REF!="Yes"</formula>
    </cfRule>
  </conditionalFormatting>
  <conditionalFormatting sqref="E36:I40">
    <cfRule type="expression" dxfId="95" priority="30" stopIfTrue="1">
      <formula>IF($F$34="No", "TRUE", "FALSE")</formula>
    </cfRule>
  </conditionalFormatting>
  <conditionalFormatting sqref="F41:F43">
    <cfRule type="cellIs" dxfId="94" priority="29" operator="lessThan">
      <formula>$F$22</formula>
    </cfRule>
  </conditionalFormatting>
  <conditionalFormatting sqref="F87:F88">
    <cfRule type="containsText" dxfId="93" priority="28" operator="containsText" text="NA">
      <formula>NOT(ISERROR(SEARCH("NA",F87)))</formula>
    </cfRule>
  </conditionalFormatting>
  <conditionalFormatting sqref="F93">
    <cfRule type="cellIs" dxfId="92" priority="37" operator="between">
      <formula>1.1</formula>
      <formula>1.499999</formula>
    </cfRule>
  </conditionalFormatting>
  <conditionalFormatting sqref="F98">
    <cfRule type="cellIs" dxfId="91" priority="35" operator="between">
      <formula>1.1</formula>
      <formula>1.299999</formula>
    </cfRule>
  </conditionalFormatting>
  <conditionalFormatting sqref="F49">
    <cfRule type="cellIs" dxfId="90" priority="26" operator="lessThan">
      <formula>$F$48</formula>
    </cfRule>
  </conditionalFormatting>
  <conditionalFormatting sqref="AU61:AU68">
    <cfRule type="expression" dxfId="89" priority="22">
      <formula>#REF!="No"</formula>
    </cfRule>
    <cfRule type="expression" dxfId="88" priority="23">
      <formula>$G$15="No"</formula>
    </cfRule>
  </conditionalFormatting>
  <conditionalFormatting sqref="E31:G31">
    <cfRule type="expression" dxfId="87" priority="25">
      <formula>$F$30="Power Limit"</formula>
    </cfRule>
  </conditionalFormatting>
  <conditionalFormatting sqref="H30:I31 H86:I100 C91:C95 B89">
    <cfRule type="expression" dxfId="86" priority="18">
      <formula>$F$30="Power Limit"</formula>
    </cfRule>
  </conditionalFormatting>
  <conditionalFormatting sqref="H28:I29">
    <cfRule type="expression" dxfId="85" priority="17">
      <formula>$F$30="Soft Start"</formula>
    </cfRule>
  </conditionalFormatting>
  <conditionalFormatting sqref="F67">
    <cfRule type="expression" dxfId="84" priority="13">
      <formula>AND($F$67&gt;1.1,$F$67&lt;1.3)</formula>
    </cfRule>
    <cfRule type="expression" dxfId="83" priority="16">
      <formula>$F$67&lt;1.1</formula>
    </cfRule>
  </conditionalFormatting>
  <conditionalFormatting sqref="G67">
    <cfRule type="expression" dxfId="82" priority="12">
      <formula>AND($G$67&gt;1.1,$G$67&lt;1.3)</formula>
    </cfRule>
    <cfRule type="expression" dxfId="81" priority="15">
      <formula>$G$67&lt;1.1</formula>
    </cfRule>
  </conditionalFormatting>
  <conditionalFormatting sqref="H67">
    <cfRule type="expression" dxfId="80" priority="11">
      <formula>AND($H$67&gt;1.1,$H$67&lt;1.3)</formula>
    </cfRule>
    <cfRule type="expression" dxfId="79" priority="14">
      <formula>$H$67&lt;1.5</formula>
    </cfRule>
  </conditionalFormatting>
  <conditionalFormatting sqref="E86:G100">
    <cfRule type="expression" dxfId="78" priority="10">
      <formula>$F$30="Power Limit"</formula>
    </cfRule>
  </conditionalFormatting>
  <conditionalFormatting sqref="E105">
    <cfRule type="expression" dxfId="77" priority="8">
      <formula>$F$101="Option A"</formula>
    </cfRule>
  </conditionalFormatting>
  <conditionalFormatting sqref="I113">
    <cfRule type="expression" dxfId="76" priority="102">
      <formula>K101="Option A"</formula>
    </cfRule>
  </conditionalFormatting>
  <conditionalFormatting sqref="I105">
    <cfRule type="expression" dxfId="75" priority="104" stopIfTrue="1">
      <formula>G101="Option A"</formula>
    </cfRule>
  </conditionalFormatting>
  <conditionalFormatting sqref="I109">
    <cfRule type="expression" dxfId="74" priority="106">
      <formula>G101="Option A"</formula>
    </cfRule>
  </conditionalFormatting>
  <conditionalFormatting sqref="G113:H113">
    <cfRule type="expression" dxfId="73" priority="107">
      <formula>J101="Option A"</formula>
    </cfRule>
  </conditionalFormatting>
  <conditionalFormatting sqref="AJ130:AJ140">
    <cfRule type="expression" dxfId="72" priority="6">
      <formula>#REF!="No"</formula>
    </cfRule>
    <cfRule type="expression" dxfId="71" priority="7">
      <formula>$G$15="No"</formula>
    </cfRule>
  </conditionalFormatting>
  <conditionalFormatting sqref="F72">
    <cfRule type="expression" dxfId="70" priority="5">
      <formula>$F$30="Soft Start"</formula>
    </cfRule>
  </conditionalFormatting>
  <conditionalFormatting sqref="F73">
    <cfRule type="expression" dxfId="69" priority="4">
      <formula>$F$30="Power Limit"</formula>
    </cfRule>
  </conditionalFormatting>
  <conditionalFormatting sqref="F79:G85">
    <cfRule type="expression" dxfId="68" priority="3">
      <formula>$F$30="Soft Start"</formula>
    </cfRule>
  </conditionalFormatting>
  <conditionalFormatting sqref="E79:E85">
    <cfRule type="expression" dxfId="67" priority="2">
      <formula>$F$30="Soft Start"</formula>
    </cfRule>
  </conditionalFormatting>
  <conditionalFormatting sqref="E78">
    <cfRule type="expression" dxfId="66" priority="1">
      <formula>$F$30="Soft Start"</formula>
    </cfRule>
  </conditionalFormatting>
  <dataValidations xWindow="820" yWindow="376" count="24">
    <dataValidation type="decimal" allowBlank="1" showInputMessage="1" showErrorMessage="1" errorTitle="Lower UVLO Violation" error="The lower UVLO threshold MUST be at least 2.65V, and  less than the upper UVLO threshold. They cannot be equal." sqref="F103" xr:uid="{5824F6E2-EE1D-4806-AD59-6214E9D47848}">
      <formula1>2.65</formula1>
      <formula2>F102</formula2>
    </dataValidation>
    <dataValidation type="decimal" allowBlank="1" showInputMessage="1" showErrorMessage="1" errorTitle="Upper OVLO Threshold Violation" error="The Upper OVLO Threshold must be greater than the upper UVLO threshold, and less than 80V." sqref="F104" xr:uid="{788BA3FF-1445-4FBF-8394-C3CAE1F17FEE}">
      <formula1>F102+0.01</formula1>
      <formula2>80</formula2>
    </dataValidation>
    <dataValidation type="decimal" allowBlank="1" showInputMessage="1" showErrorMessage="1" errorTitle="Lower OVLO Threshold Violation" error="The lower OVLO threshold must be greater than the upper UVLO threshold, and less than the upper OVLO threshold." sqref="F105" xr:uid="{F2B73CEC-11AC-421F-B4AA-D0C3ABD7879F}">
      <formula1>F102+0.01</formula1>
      <formula2>F104</formula2>
    </dataValidation>
    <dataValidation type="decimal" allowBlank="1" showInputMessage="1" showErrorMessage="1" errorTitle="UVLO Threshold Violation" error="The upper UVLO threshold must be no less than 10V, and no greater than 80V." sqref="F102" xr:uid="{6E1564F2-54E8-4A3E-81A0-5F6AB00C9FD5}">
      <formula1>10</formula1>
      <formula2>80</formula2>
    </dataValidation>
    <dataValidation type="decimal" allowBlank="1" showInputMessage="1" showErrorMessage="1" errorTitle="Minimum System Voltage Violation" error="Input voltage should be between 10V and 80V." sqref="F20" xr:uid="{8080ECF7-342F-4A67-8EDC-56E6110EA3C6}">
      <formula1>F19</formula1>
      <formula2>F21</formula2>
    </dataValidation>
    <dataValidation type="decimal" operator="greaterThanOrEqual" allowBlank="1" showInputMessage="1" showErrorMessage="1" errorTitle="Load Capacitance Violation" error="A minimum load capacitance of 10 uF is required to help prevent disruptions at turn off." sqref="F23" xr:uid="{5C65F4A6-881C-414A-89ED-B81E9168EB29}">
      <formula1>10</formula1>
    </dataValidation>
    <dataValidation type="decimal" operator="greaterThan" allowBlank="1" showInputMessage="1" showErrorMessage="1" errorTitle="Maximum Load Current Violation" error="Maximum Load Current must be greater than 0." sqref="F22" xr:uid="{5206F5C7-CA01-47BA-997C-7B0DF48CB784}">
      <formula1>0</formula1>
    </dataValidation>
    <dataValidation type="list" allowBlank="1" showInputMessage="1" showErrorMessage="1" sqref="F101" xr:uid="{A799265A-0D94-4CBD-823F-6DF8275BBE8D}">
      <formula1>$AP$97:$AP$98</formula1>
    </dataValidation>
    <dataValidation type="list" allowBlank="1" showInputMessage="1" showErrorMessage="1" sqref="F46" xr:uid="{A8BFBEFC-4DD7-4E23-B3A2-F30B0FB304DC}">
      <formula1>"1.9 x Current Limit,3.9 x Current Limit"</formula1>
    </dataValidation>
    <dataValidation type="list" allowBlank="1" showInputMessage="1" showErrorMessage="1" sqref="F45" xr:uid="{5BCD26CC-6F03-4FD5-94D1-1CC2986DF44F}">
      <formula1>"Retry,Latch Off"</formula1>
    </dataValidation>
    <dataValidation type="whole" allowBlank="1" showInputMessage="1" showErrorMessage="1" sqref="H55" xr:uid="{E8B9B602-7AA7-4B31-87A2-029E79D4411C}">
      <formula1>1</formula1>
      <formula2>6</formula2>
    </dataValidation>
    <dataValidation type="decimal" operator="greaterThan" allowBlank="1" showInputMessage="1" showErrorMessage="1" sqref="F38 F40" xr:uid="{6273CC73-276C-4AE3-9B12-4A101739DB24}">
      <formula1>0</formula1>
    </dataValidation>
    <dataValidation type="custom" errorStyle="information" operator="equal" allowBlank="1" showInputMessage="1" showErrorMessage="1" errorTitle="Resistor Divider" error="When using resistor divider Rs should be set larger than Rs,eff. _x000a__x000a_Otherwise switch to &quot;No resistor divider&quot;" sqref="F36" xr:uid="{3F98873A-C7D4-4661-AFB4-E7D0F4786EA0}">
      <formula1>"""NA"""</formula1>
    </dataValidation>
    <dataValidation type="list" allowBlank="1" showInputMessage="1" showErrorMessage="1" sqref="F86" xr:uid="{4FE9ABC5-DC83-4419-8DCC-5FF8D7F1FB7C}">
      <formula1>$AP$34:$AP$35</formula1>
    </dataValidation>
    <dataValidation type="list" allowBlank="1" showErrorMessage="1" sqref="F34" xr:uid="{92DD4FC1-DE93-41A6-BC70-3349A69AA464}">
      <formula1>"Yes,No"</formula1>
    </dataValidation>
    <dataValidation type="list" allowBlank="1" showInputMessage="1" showErrorMessage="1" sqref="F28" xr:uid="{E73C2EF8-4437-4863-A43E-DAF0EC50548F}">
      <formula1>$AN$73:$AN$74</formula1>
    </dataValidation>
    <dataValidation type="decimal" allowBlank="1" showInputMessage="1" showErrorMessage="1" error="Must enter a value less than 10" sqref="F39" xr:uid="{A4A9BC4F-07CC-4A75-8F93-7A81E3AB4B14}">
      <formula1>0</formula1>
      <formula2>10</formula2>
    </dataValidation>
    <dataValidation type="decimal" operator="lessThanOrEqual" allowBlank="1" showInputMessage="1" showErrorMessage="1" sqref="F27" xr:uid="{02CE0B7C-1F95-4115-A21C-7C9BACF65FF0}">
      <formula1>F21</formula1>
    </dataValidation>
    <dataValidation type="decimal" operator="greaterThanOrEqual" allowBlank="1" showInputMessage="1" showErrorMessage="1" errorTitle="Ambient Temperature Violation" error="The Ambient Temperature must be between -40C and 125C" sqref="F25" xr:uid="{099AF7E4-C988-4F1D-B273-4303E912B478}">
      <formula1>70</formula1>
    </dataValidation>
    <dataValidation type="list" allowBlank="1" showInputMessage="1" showErrorMessage="1" sqref="F30" xr:uid="{801F596B-2160-48AF-9553-B1937D744593}">
      <formula1>"Soft Start,Power Limit"</formula1>
    </dataValidation>
    <dataValidation type="decimal" operator="lessThanOrEqual" allowBlank="1" showInputMessage="1" showErrorMessage="1" sqref="F29" xr:uid="{231B0BB6-6C7C-42FE-820A-1E307CC3C1EF}">
      <formula1>F22</formula1>
    </dataValidation>
    <dataValidation type="list" allowBlank="1" showInputMessage="1" showErrorMessage="1" sqref="F75" xr:uid="{7116AF37-FE1B-4EDD-B84D-1F74680BB4B9}">
      <formula1>$F$54:$H$54</formula1>
    </dataValidation>
    <dataValidation type="list" allowBlank="1" showInputMessage="1" showErrorMessage="1" sqref="F54 G54" xr:uid="{38C7BC08-64CE-44EA-9E67-3669E0E6DF6B}">
      <formula1>$BE$54:$BE$71</formula1>
    </dataValidation>
    <dataValidation type="list" allowBlank="1" showInputMessage="1" showErrorMessage="1" sqref="F62 G62" xr:uid="{185431D6-A209-41C0-8298-49D3B94AFF2F}">
      <formula1>$BE$62:$BE$79</formula1>
    </dataValidation>
  </dataValidations>
  <hyperlinks>
    <hyperlink ref="B2" r:id="rId1" xr:uid="{00000000-0004-0000-0100-000000000000}"/>
    <hyperlink ref="D15" r:id="rId2" xr:uid="{2DE2F456-DB5A-4088-9A28-B76B255F8C56}"/>
    <hyperlink ref="D16:F17" r:id="rId3" display="*For additional questions not addressed in the videos, please post on E2E.ti.com" xr:uid="{F8244394-2F25-4531-9163-4594172C21FE}"/>
  </hyperlinks>
  <pageMargins left="0.17" right="0.17" top="0.55000000000000004" bottom="0.92" header="0.48" footer="0.2"/>
  <pageSetup scale="62" fitToHeight="2" orientation="portrait" r:id="rId4"/>
  <headerFooter alignWithMargins="0"/>
  <drawing r:id="rId5"/>
  <legacyDrawing r:id="rId6"/>
  <tableParts count="2">
    <tablePart r:id="rId7"/>
    <tablePart r:id="rId8"/>
  </tableParts>
  <extLst>
    <ext xmlns:x14="http://schemas.microsoft.com/office/spreadsheetml/2009/9/main" uri="{CCE6A557-97BC-4b89-ADB6-D9C93CAAB3DF}">
      <x14:dataValidations xmlns:xm="http://schemas.microsoft.com/office/excel/2006/main" xWindow="820" yWindow="376" count="4">
        <x14:dataValidation type="decimal" allowBlank="1" showInputMessage="1" showErrorMessage="1" errorTitle="Ambient Temperature Violation" error="The Ambient Temperature must be between -40C and 125C" xr:uid="{019B35FE-9BF7-489D-BF9F-79B92AADCE00}">
          <x14:formula1>
            <xm:f>'Device Parameters'!C7</xm:f>
          </x14:formula1>
          <x14:formula2>
            <xm:f>'Device Parameters'!E7</xm:f>
          </x14:formula2>
          <xm:sqref>F31</xm:sqref>
        </x14:dataValidation>
        <x14:dataValidation type="decimal" allowBlank="1" showInputMessage="1" showErrorMessage="1" errorTitle="Ambient Temperature Violation" error="The Ambient Temperature must be between -40C and 125C" xr:uid="{D082D78F-B91D-4FFC-98FD-746B751419E6}">
          <x14:formula1>
            <xm:f>'Device Parameters'!C4</xm:f>
          </x14:formula1>
          <x14:formula2>
            <xm:f>'Device Parameters'!E4</xm:f>
          </x14:formula2>
          <xm:sqref>F24</xm:sqref>
        </x14:dataValidation>
        <x14:dataValidation type="decimal" operator="lessThanOrEqual" allowBlank="1" showInputMessage="1" showErrorMessage="1" errorTitle="Maximum System Voltage Violation" error="The maximum system voltage must be no greater than 80V." xr:uid="{9B78DFBA-250C-4D66-8CCD-DAA350E1E996}">
          <x14:formula1>
            <xm:f>'Device Parameters'!E5</xm:f>
          </x14:formula1>
          <xm:sqref>F21</xm:sqref>
        </x14:dataValidation>
        <x14:dataValidation type="decimal" operator="greaterThanOrEqual" allowBlank="1" showInputMessage="1" showErrorMessage="1" errorTitle="Minimum System Voltage Violation" error="The minimum system voltage must be at least 9V." xr:uid="{5FD8BDFE-E639-4DD1-A21D-D09949519423}">
          <x14:formula1>
            <xm:f>'Device Parameters'!C5</xm:f>
          </x14:formula1>
          <xm:sqref>F19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2:Q52"/>
  <sheetViews>
    <sheetView zoomScale="80" zoomScaleNormal="80" workbookViewId="0">
      <selection activeCell="R19" sqref="R19"/>
    </sheetView>
  </sheetViews>
  <sheetFormatPr baseColWidth="10" defaultColWidth="8.83203125" defaultRowHeight="13"/>
  <cols>
    <col min="1" max="1" width="9.5" customWidth="1"/>
    <col min="2" max="2" width="24.33203125" customWidth="1"/>
    <col min="3" max="3" width="9.1640625" customWidth="1"/>
    <col min="12" max="12" width="13.5" customWidth="1"/>
  </cols>
  <sheetData>
    <row r="2" spans="1:17">
      <c r="A2" s="25"/>
      <c r="C2" s="25" t="s">
        <v>71</v>
      </c>
      <c r="D2" s="25" t="s">
        <v>72</v>
      </c>
      <c r="E2" s="25" t="s">
        <v>73</v>
      </c>
      <c r="F2" s="25" t="s">
        <v>150</v>
      </c>
    </row>
    <row r="3" spans="1:17">
      <c r="A3" s="21" t="s">
        <v>147</v>
      </c>
      <c r="C3" s="25"/>
      <c r="D3" s="25"/>
      <c r="E3" s="25"/>
    </row>
    <row r="4" spans="1:17">
      <c r="A4" s="21"/>
      <c r="B4" s="25" t="s">
        <v>158</v>
      </c>
      <c r="C4" s="65">
        <v>-40</v>
      </c>
      <c r="D4" s="65"/>
      <c r="E4" s="65">
        <v>125</v>
      </c>
    </row>
    <row r="5" spans="1:17">
      <c r="B5" s="26" t="s">
        <v>148</v>
      </c>
      <c r="C5" s="1">
        <v>9</v>
      </c>
      <c r="D5" s="1"/>
      <c r="E5" s="1">
        <v>80</v>
      </c>
      <c r="F5" s="25" t="s">
        <v>86</v>
      </c>
      <c r="J5" s="2"/>
    </row>
    <row r="6" spans="1:17" ht="16.5" customHeight="1">
      <c r="A6" s="21" t="s">
        <v>127</v>
      </c>
      <c r="B6" s="26"/>
      <c r="C6" s="1"/>
      <c r="D6" s="1"/>
      <c r="E6" s="1"/>
      <c r="J6" s="2"/>
    </row>
    <row r="7" spans="1:17">
      <c r="B7" s="26"/>
      <c r="C7" s="1"/>
      <c r="D7" s="1"/>
      <c r="E7" s="1"/>
      <c r="J7" s="2"/>
    </row>
    <row r="8" spans="1:17">
      <c r="B8" s="26"/>
      <c r="C8" s="1">
        <v>48.5</v>
      </c>
      <c r="D8" s="1">
        <v>55</v>
      </c>
      <c r="E8" s="1">
        <v>61.5</v>
      </c>
      <c r="J8" s="26"/>
    </row>
    <row r="9" spans="1:17">
      <c r="B9" s="26" t="s">
        <v>149</v>
      </c>
      <c r="C9" s="1"/>
      <c r="D9" s="1">
        <v>23</v>
      </c>
      <c r="E9" s="1"/>
      <c r="F9" s="25" t="s">
        <v>151</v>
      </c>
      <c r="J9" s="26"/>
    </row>
    <row r="10" spans="1:17">
      <c r="C10" s="1"/>
      <c r="D10" s="1"/>
      <c r="E10" s="1"/>
    </row>
    <row r="11" spans="1:17">
      <c r="A11" s="21" t="s">
        <v>160</v>
      </c>
      <c r="C11" s="1"/>
      <c r="D11" s="1"/>
      <c r="E11" s="1"/>
    </row>
    <row r="12" spans="1:17">
      <c r="B12" s="25" t="s">
        <v>254</v>
      </c>
      <c r="C12" s="1"/>
      <c r="D12" s="1"/>
      <c r="E12" s="1">
        <v>1E-3</v>
      </c>
      <c r="F12" s="25" t="s">
        <v>86</v>
      </c>
    </row>
    <row r="13" spans="1:17">
      <c r="B13" s="25" t="s">
        <v>255</v>
      </c>
      <c r="C13" s="1"/>
      <c r="D13" s="1"/>
      <c r="E13" s="1">
        <v>5.0000000000000001E-3</v>
      </c>
      <c r="F13" s="25" t="s">
        <v>86</v>
      </c>
      <c r="G13" s="25" t="s">
        <v>256</v>
      </c>
    </row>
    <row r="14" spans="1:17">
      <c r="B14" s="25" t="s">
        <v>257</v>
      </c>
      <c r="C14" s="1"/>
      <c r="D14" s="1"/>
      <c r="E14" s="125">
        <v>125000</v>
      </c>
      <c r="F14" s="25"/>
    </row>
    <row r="15" spans="1:17">
      <c r="B15" s="25"/>
      <c r="C15" s="1"/>
      <c r="D15" s="1"/>
      <c r="E15" s="125"/>
      <c r="F15" s="25"/>
    </row>
    <row r="16" spans="1:17">
      <c r="B16" s="25" t="s">
        <v>264</v>
      </c>
      <c r="C16" s="124" t="s">
        <v>258</v>
      </c>
      <c r="D16" s="1"/>
      <c r="E16" s="1"/>
      <c r="F16" s="25"/>
      <c r="I16" s="25" t="s">
        <v>259</v>
      </c>
      <c r="J16" s="25" t="s">
        <v>70</v>
      </c>
      <c r="K16" s="25" t="s">
        <v>260</v>
      </c>
      <c r="L16" s="25" t="s">
        <v>262</v>
      </c>
      <c r="M16" s="25" t="s">
        <v>261</v>
      </c>
      <c r="N16" s="25" t="s">
        <v>263</v>
      </c>
      <c r="P16" s="25" t="s">
        <v>261</v>
      </c>
      <c r="Q16" s="25" t="s">
        <v>260</v>
      </c>
    </row>
    <row r="17" spans="1:17">
      <c r="B17" s="25"/>
      <c r="C17" s="124" t="s">
        <v>443</v>
      </c>
      <c r="D17" s="1"/>
      <c r="E17" s="1"/>
      <c r="F17" s="25"/>
      <c r="J17">
        <v>12</v>
      </c>
      <c r="K17">
        <v>25</v>
      </c>
      <c r="L17">
        <f>0.5</f>
        <v>0.5</v>
      </c>
      <c r="M17" s="127">
        <f>1/(0.001*L17)*(K17*1000/$E$14+J17*$E$12)</f>
        <v>424.00000000000006</v>
      </c>
      <c r="N17" s="126">
        <f>K17*1000/$E$14/J17+$E$12</f>
        <v>1.7666666666666667E-2</v>
      </c>
      <c r="P17">
        <v>82</v>
      </c>
      <c r="Q17">
        <f>E14*(P17*L17*0.001-J17*E12)</f>
        <v>3625</v>
      </c>
    </row>
    <row r="18" spans="1:17">
      <c r="B18" s="25"/>
      <c r="C18" s="124" t="s">
        <v>442</v>
      </c>
      <c r="D18" s="1"/>
      <c r="E18" s="1"/>
      <c r="F18" s="25"/>
      <c r="J18">
        <v>12</v>
      </c>
      <c r="K18">
        <v>5</v>
      </c>
      <c r="L18">
        <f>0.5</f>
        <v>0.5</v>
      </c>
      <c r="M18" s="127">
        <f>1/(0.001*L18)*(K18*1000/$E$14+J18*$E$12)</f>
        <v>104.00000000000001</v>
      </c>
      <c r="N18" s="126">
        <f>K18*1000/$E$14/J18+$E$12*0.001</f>
        <v>3.3343333333333337E-3</v>
      </c>
    </row>
    <row r="19" spans="1:17">
      <c r="B19" s="25" t="s">
        <v>265</v>
      </c>
      <c r="E19" s="1"/>
      <c r="F19" s="25"/>
      <c r="I19" s="25" t="s">
        <v>267</v>
      </c>
      <c r="M19" s="127"/>
      <c r="N19" s="126"/>
    </row>
    <row r="20" spans="1:17">
      <c r="C20" s="1"/>
      <c r="D20" s="1"/>
      <c r="E20" s="1"/>
    </row>
    <row r="21" spans="1:17">
      <c r="A21" s="21" t="s">
        <v>153</v>
      </c>
      <c r="C21" s="1"/>
      <c r="D21" s="1"/>
      <c r="E21" s="1"/>
    </row>
    <row r="22" spans="1:17">
      <c r="B22" s="26" t="s">
        <v>154</v>
      </c>
      <c r="C22" s="1">
        <v>3.76</v>
      </c>
      <c r="D22" s="1">
        <v>4</v>
      </c>
      <c r="E22" s="1">
        <v>4.16</v>
      </c>
      <c r="F22" s="25" t="s">
        <v>86</v>
      </c>
    </row>
    <row r="23" spans="1:17">
      <c r="B23" s="26" t="s">
        <v>155</v>
      </c>
      <c r="C23" s="1">
        <v>-8</v>
      </c>
      <c r="D23" s="1">
        <v>-5.5</v>
      </c>
      <c r="E23" s="1">
        <v>-3</v>
      </c>
      <c r="F23" s="25" t="s">
        <v>151</v>
      </c>
    </row>
    <row r="24" spans="1:17">
      <c r="B24" s="26" t="s">
        <v>353</v>
      </c>
      <c r="C24" s="1"/>
      <c r="D24" s="1"/>
      <c r="E24" s="1"/>
      <c r="F24" s="25"/>
    </row>
    <row r="25" spans="1:17">
      <c r="B25" s="26" t="s">
        <v>156</v>
      </c>
      <c r="C25" s="1">
        <v>120</v>
      </c>
      <c r="D25" s="1">
        <v>85</v>
      </c>
      <c r="E25" s="1">
        <v>51</v>
      </c>
      <c r="F25" s="25" t="s">
        <v>151</v>
      </c>
    </row>
    <row r="26" spans="1:17">
      <c r="B26" s="26" t="s">
        <v>290</v>
      </c>
      <c r="C26" s="1"/>
      <c r="D26" s="1">
        <f>SQRT(0.66^2+ ((120-90)/90)^2+ 0.1^2)</f>
        <v>0.74613076006227697</v>
      </c>
      <c r="E26" s="1"/>
      <c r="F26" s="25"/>
      <c r="G26" s="25" t="s">
        <v>289</v>
      </c>
    </row>
    <row r="27" spans="1:17">
      <c r="B27" s="26" t="s">
        <v>287</v>
      </c>
      <c r="C27" s="1"/>
      <c r="D27" s="1">
        <v>0.5</v>
      </c>
      <c r="E27" s="1"/>
      <c r="F27" s="25"/>
      <c r="G27" s="25" t="s">
        <v>288</v>
      </c>
    </row>
    <row r="28" spans="1:17">
      <c r="B28" s="2"/>
      <c r="C28" s="1"/>
      <c r="D28" s="1"/>
      <c r="E28" s="1"/>
    </row>
    <row r="29" spans="1:17">
      <c r="A29" s="21" t="s">
        <v>187</v>
      </c>
      <c r="B29" s="2"/>
      <c r="C29" s="1"/>
      <c r="D29" s="1"/>
      <c r="E29" s="1"/>
    </row>
    <row r="30" spans="1:17">
      <c r="B30" s="26" t="s">
        <v>191</v>
      </c>
      <c r="C30" s="1">
        <v>10</v>
      </c>
      <c r="D30" s="1">
        <v>16</v>
      </c>
      <c r="E30" s="1">
        <v>22</v>
      </c>
    </row>
    <row r="31" spans="1:17">
      <c r="B31" s="2"/>
      <c r="C31" s="1"/>
      <c r="D31" s="1"/>
      <c r="E31" s="1"/>
    </row>
    <row r="32" spans="1:17">
      <c r="A32" s="21" t="s">
        <v>152</v>
      </c>
      <c r="B32" s="2"/>
      <c r="C32" s="354"/>
      <c r="D32" s="354"/>
      <c r="E32" s="354"/>
      <c r="F32" s="354"/>
      <c r="G32" s="354"/>
      <c r="H32" s="354"/>
    </row>
    <row r="33" spans="1:8">
      <c r="B33" s="26"/>
      <c r="C33" s="1"/>
      <c r="D33" s="1"/>
      <c r="E33" s="1"/>
      <c r="F33" s="1"/>
      <c r="G33" s="1"/>
      <c r="H33" s="1"/>
    </row>
    <row r="34" spans="1:8">
      <c r="B34" s="26"/>
      <c r="C34" s="1"/>
      <c r="D34" s="1"/>
      <c r="E34" s="1"/>
      <c r="F34" s="1"/>
      <c r="G34" s="1"/>
      <c r="H34" s="1"/>
    </row>
    <row r="35" spans="1:8">
      <c r="B35" s="26"/>
      <c r="C35" s="1"/>
      <c r="D35" s="1"/>
      <c r="E35" s="1"/>
      <c r="F35" s="1"/>
      <c r="G35" s="1"/>
      <c r="H35" s="1"/>
    </row>
    <row r="36" spans="1:8">
      <c r="B36" s="26"/>
      <c r="C36" s="1"/>
      <c r="D36" s="1"/>
      <c r="E36" s="1"/>
      <c r="F36" s="1"/>
      <c r="G36" s="1"/>
      <c r="H36" s="1"/>
    </row>
    <row r="37" spans="1:8">
      <c r="B37" s="2"/>
      <c r="C37" s="1"/>
      <c r="D37" s="1"/>
      <c r="E37" s="1"/>
    </row>
    <row r="38" spans="1:8">
      <c r="A38" s="21" t="s">
        <v>222</v>
      </c>
      <c r="B38" s="2"/>
    </row>
    <row r="39" spans="1:8">
      <c r="B39" s="26" t="s">
        <v>154</v>
      </c>
      <c r="C39">
        <v>3.76</v>
      </c>
      <c r="D39">
        <v>4</v>
      </c>
      <c r="E39">
        <v>4.16</v>
      </c>
    </row>
    <row r="40" spans="1:8">
      <c r="B40" s="26" t="s">
        <v>223</v>
      </c>
      <c r="C40">
        <v>1.1870000000000001</v>
      </c>
      <c r="D40">
        <v>1.25</v>
      </c>
      <c r="E40">
        <v>1.3129999999999999</v>
      </c>
    </row>
    <row r="41" spans="1:8">
      <c r="B41" s="26" t="s">
        <v>224</v>
      </c>
      <c r="D41">
        <v>0.3</v>
      </c>
    </row>
    <row r="42" spans="1:8">
      <c r="B42" s="26" t="s">
        <v>225</v>
      </c>
      <c r="D42">
        <v>0.3</v>
      </c>
    </row>
    <row r="43" spans="1:8">
      <c r="B43" s="26" t="s">
        <v>226</v>
      </c>
      <c r="C43">
        <v>3</v>
      </c>
      <c r="D43">
        <v>5.5</v>
      </c>
      <c r="E43">
        <v>8</v>
      </c>
    </row>
    <row r="44" spans="1:8">
      <c r="B44" s="26" t="s">
        <v>227</v>
      </c>
      <c r="C44">
        <v>1</v>
      </c>
      <c r="D44">
        <v>1.5</v>
      </c>
      <c r="E44">
        <v>2</v>
      </c>
    </row>
    <row r="45" spans="1:8">
      <c r="B45" s="26" t="s">
        <v>156</v>
      </c>
      <c r="C45">
        <v>51</v>
      </c>
      <c r="D45">
        <v>85</v>
      </c>
      <c r="E45">
        <v>120</v>
      </c>
    </row>
    <row r="46" spans="1:8">
      <c r="B46" s="26" t="s">
        <v>228</v>
      </c>
      <c r="C46">
        <v>1.25</v>
      </c>
      <c r="D46">
        <v>2.5</v>
      </c>
      <c r="E46">
        <v>3.75</v>
      </c>
    </row>
    <row r="48" spans="1:8">
      <c r="A48" s="21" t="s">
        <v>232</v>
      </c>
    </row>
    <row r="49" spans="1:8">
      <c r="B49" s="26" t="s">
        <v>233</v>
      </c>
      <c r="D49">
        <v>60</v>
      </c>
      <c r="E49">
        <v>150</v>
      </c>
      <c r="F49" s="25" t="s">
        <v>161</v>
      </c>
      <c r="G49">
        <v>2</v>
      </c>
      <c r="H49" s="25" t="s">
        <v>234</v>
      </c>
    </row>
    <row r="50" spans="1:8">
      <c r="A50" s="21" t="s">
        <v>235</v>
      </c>
    </row>
    <row r="51" spans="1:8">
      <c r="B51" s="25" t="s">
        <v>236</v>
      </c>
      <c r="C51">
        <v>2.41</v>
      </c>
      <c r="D51">
        <v>2.46</v>
      </c>
      <c r="E51">
        <v>2.52</v>
      </c>
      <c r="F51" s="25" t="s">
        <v>86</v>
      </c>
    </row>
    <row r="52" spans="1:8">
      <c r="B52" s="25" t="s">
        <v>237</v>
      </c>
      <c r="C52">
        <v>15</v>
      </c>
      <c r="D52">
        <v>20</v>
      </c>
      <c r="E52">
        <v>25</v>
      </c>
      <c r="F52" s="25" t="s">
        <v>151</v>
      </c>
    </row>
  </sheetData>
  <mergeCells count="2">
    <mergeCell ref="C32:E32"/>
    <mergeCell ref="F32:H3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3:Y286"/>
  <sheetViews>
    <sheetView zoomScaleNormal="100" workbookViewId="0">
      <selection activeCell="F74" sqref="F74"/>
    </sheetView>
  </sheetViews>
  <sheetFormatPr baseColWidth="10" defaultColWidth="8.83203125" defaultRowHeight="13"/>
  <cols>
    <col min="6" max="6" width="12.5" bestFit="1" customWidth="1"/>
    <col min="8" max="8" width="14" customWidth="1"/>
    <col min="9" max="9" width="12.6640625" customWidth="1"/>
    <col min="10" max="10" width="11.6640625" customWidth="1"/>
  </cols>
  <sheetData>
    <row r="13" spans="1:6">
      <c r="A13" s="21" t="s">
        <v>127</v>
      </c>
    </row>
    <row r="14" spans="1:6">
      <c r="E14" s="2"/>
    </row>
    <row r="15" spans="1:6">
      <c r="D15" t="s">
        <v>198</v>
      </c>
      <c r="E15">
        <f>IF('Design Calculator'!$F$32="26 mV",'Device Parameters'!C7,'Device Parameters'!C8)</f>
        <v>48.5</v>
      </c>
      <c r="F15" s="80" t="s">
        <v>161</v>
      </c>
    </row>
    <row r="16" spans="1:6">
      <c r="D16" t="s">
        <v>197</v>
      </c>
      <c r="E16">
        <f>IF('Design Calculator'!$F$32="26 mV",'Device Parameters'!D7,'Device Parameters'!D8)</f>
        <v>55</v>
      </c>
      <c r="F16" s="80" t="s">
        <v>161</v>
      </c>
    </row>
    <row r="17" spans="1:10">
      <c r="D17" t="s">
        <v>196</v>
      </c>
      <c r="E17">
        <f>IF('Design Calculator'!$F$32="26 mV",'Device Parameters'!E7,'Device Parameters'!E8)</f>
        <v>61.5</v>
      </c>
      <c r="F17" s="80" t="s">
        <v>161</v>
      </c>
    </row>
    <row r="18" spans="1:10">
      <c r="E18" s="2"/>
    </row>
    <row r="19" spans="1:10">
      <c r="A19" s="21"/>
      <c r="E19" s="2"/>
    </row>
    <row r="20" spans="1:10">
      <c r="E20" s="2" t="s">
        <v>0</v>
      </c>
      <c r="F20">
        <f>CLMIN_Threshold/('Design Calculator'!F22*1.01)</f>
        <v>2.4009900990099009</v>
      </c>
    </row>
    <row r="21" spans="1:10">
      <c r="E21" s="26" t="s">
        <v>199</v>
      </c>
      <c r="F21" s="25">
        <f>IF(Rs&gt;RsMAX,10,"NA")</f>
        <v>10</v>
      </c>
    </row>
    <row r="22" spans="1:10">
      <c r="E22" s="26" t="s">
        <v>200</v>
      </c>
      <c r="F22">
        <f>IF(Rs&gt;RsMAX,(((IOUTMAX*Rs)/CLMIN_Threshold)-1)*F21,"NA")</f>
        <v>0.30927835051546282</v>
      </c>
    </row>
    <row r="23" spans="1:10">
      <c r="E23" s="26" t="s">
        <v>201</v>
      </c>
      <c r="F23">
        <f>IF(RsMAX&gt;Rs,Rs,IF('Design Calculator'!F34="Yes",IF(Rs&gt;RsMAX,Rs/(1+RDIV2/RDIV1),Rs),Rs))</f>
        <v>2.4248302618816684</v>
      </c>
      <c r="H23" s="112"/>
    </row>
    <row r="24" spans="1:10">
      <c r="E24" s="2" t="s">
        <v>1</v>
      </c>
      <c r="F24" s="3">
        <f>CLMIN_Threshold/RsEFF</f>
        <v>20.0014</v>
      </c>
      <c r="G24" s="3"/>
    </row>
    <row r="25" spans="1:10">
      <c r="E25" s="2" t="s">
        <v>2</v>
      </c>
      <c r="F25">
        <f>CLNOM_Threshold/RsEFF</f>
        <v>22.681999999999999</v>
      </c>
    </row>
    <row r="26" spans="1:10">
      <c r="E26" s="2" t="s">
        <v>3</v>
      </c>
      <c r="F26">
        <f>CLMAX_Threshold/RsEFF</f>
        <v>25.3626</v>
      </c>
    </row>
    <row r="27" spans="1:10">
      <c r="E27" s="2" t="s">
        <v>4</v>
      </c>
      <c r="F27">
        <f>F26^2*'Design Calculator'!F35</f>
        <v>1608.1536969000001</v>
      </c>
    </row>
    <row r="30" spans="1:10">
      <c r="E30" s="2"/>
    </row>
    <row r="31" spans="1:10">
      <c r="A31" s="21" t="s">
        <v>145</v>
      </c>
    </row>
    <row r="32" spans="1:10">
      <c r="A32" s="25"/>
      <c r="F32" s="25" t="s">
        <v>146</v>
      </c>
      <c r="G32" s="25"/>
      <c r="H32" s="25"/>
      <c r="J32" s="25" t="s">
        <v>609</v>
      </c>
    </row>
    <row r="33" spans="1:12">
      <c r="A33" s="25"/>
      <c r="E33" s="29" t="s">
        <v>605</v>
      </c>
      <c r="F33" s="56">
        <f ca="1">VINMAX*'Design Calculator'!F57</f>
        <v>8800</v>
      </c>
      <c r="G33" s="56">
        <f ca="1">VINMAX*'Design Calculator'!G57</f>
        <v>8800</v>
      </c>
      <c r="H33" s="56">
        <f>VINMAX*'Design Calculator'!H57</f>
        <v>4400</v>
      </c>
      <c r="I33" s="25" t="s">
        <v>87</v>
      </c>
      <c r="J33">
        <f ca="1">F33*($F$38-TJDC1)/($F$38-25)</f>
        <v>4787.2</v>
      </c>
      <c r="K33">
        <f ca="1">G33*($G$38-TJDC2)/($G$38-25)</f>
        <v>4730.1760000000004</v>
      </c>
      <c r="L33">
        <f ca="1">H33*($H$38-TJDC3)/($H$38-25)</f>
        <v>2464</v>
      </c>
    </row>
    <row r="34" spans="1:12">
      <c r="A34" s="25"/>
      <c r="E34" s="29" t="s">
        <v>606</v>
      </c>
      <c r="F34" s="56">
        <f ca="1">VINMAX*'Design Calculator'!F58</f>
        <v>7200.0000000000009</v>
      </c>
      <c r="G34" s="56">
        <f ca="1">VINMAX*'Design Calculator'!G58</f>
        <v>5084.242348927005</v>
      </c>
      <c r="H34" s="56">
        <f>VINMAX*'Design Calculator'!H58</f>
        <v>1980</v>
      </c>
      <c r="I34" s="25" t="s">
        <v>87</v>
      </c>
      <c r="J34">
        <f ca="1">F34*($F$38-TJDC1)/($F$38-25)</f>
        <v>3916.8</v>
      </c>
      <c r="K34">
        <f ca="1">G34*($G$38-TJDC2)/($G$38-25)</f>
        <v>2732.8819473952435</v>
      </c>
      <c r="L34">
        <f ca="1">H34*($H$38-TJDC3)/($H$38-25)</f>
        <v>1108.8</v>
      </c>
    </row>
    <row r="35" spans="1:12">
      <c r="A35" s="25"/>
      <c r="E35" s="29" t="s">
        <v>126</v>
      </c>
      <c r="F35" s="56">
        <f ca="1">VINMAX*'Design Calculator'!F59</f>
        <v>887.98336937427734</v>
      </c>
      <c r="G35" s="56">
        <f ca="1">VINMAX*'Design Calculator'!G59</f>
        <v>508.10382607369155</v>
      </c>
      <c r="H35" s="56">
        <f>VINMAX*'Design Calculator'!H59</f>
        <v>880</v>
      </c>
      <c r="I35" s="25" t="s">
        <v>87</v>
      </c>
      <c r="J35">
        <f ca="1">F35*($F$38-TJDC1)/($F$38-25)</f>
        <v>483.06295293960682</v>
      </c>
      <c r="K35">
        <f ca="1">G35*($G$38-TJDC2)/($G$38-25)</f>
        <v>273.11596859113064</v>
      </c>
      <c r="L35">
        <f ca="1">H35*($H$38-TJDC3)/($H$38-25)</f>
        <v>492.8</v>
      </c>
    </row>
    <row r="36" spans="1:12">
      <c r="A36" s="25"/>
      <c r="E36" s="29" t="s">
        <v>607</v>
      </c>
      <c r="F36" s="56">
        <f ca="1">VINMAX*'Design Calculator'!F60</f>
        <v>240.92127120099533</v>
      </c>
      <c r="G36" s="56">
        <f ca="1">VINMAX*'Design Calculator'!G60</f>
        <v>178.2603596197938</v>
      </c>
      <c r="H36" s="56">
        <f>VINMAX*'Design Calculator'!H60</f>
        <v>220</v>
      </c>
      <c r="I36" s="25" t="s">
        <v>87</v>
      </c>
      <c r="J36">
        <f ca="1">F36*($F$38-TJDC1)/($F$38-25)</f>
        <v>131.06117153334145</v>
      </c>
      <c r="K36">
        <f ca="1">G36*($G$38-TJDC2)/($G$38-25)</f>
        <v>95.818508502831563</v>
      </c>
      <c r="L36">
        <f ca="1">H36*($H$38-TJDC3)/($H$38-25)</f>
        <v>123.2</v>
      </c>
    </row>
    <row r="37" spans="1:12">
      <c r="A37" s="25"/>
      <c r="E37" s="29" t="s">
        <v>608</v>
      </c>
      <c r="F37" s="56">
        <f ca="1">VINMAX*'Design Calculator'!F61</f>
        <v>155.03666487772153</v>
      </c>
      <c r="G37" s="56">
        <f ca="1">VINMAX*'Design Calculator'!G61</f>
        <v>74.082656000570495</v>
      </c>
      <c r="H37" s="56">
        <f>VINMAX*'Design Calculator'!H61</f>
        <v>176</v>
      </c>
      <c r="I37" s="25" t="s">
        <v>87</v>
      </c>
      <c r="J37">
        <f ca="1">F37*($F$38-TJDC1)/($F$38-25)</f>
        <v>84.339945693480516</v>
      </c>
      <c r="K37">
        <f ca="1">G37*($G$38-TJDC2)/($G$38-25)</f>
        <v>39.820909253426656</v>
      </c>
      <c r="L37">
        <f ca="1">H37*($H$38-TJDC3)/($H$38-25)</f>
        <v>98.56</v>
      </c>
    </row>
    <row r="38" spans="1:12">
      <c r="A38" s="25"/>
      <c r="E38" s="26" t="s">
        <v>457</v>
      </c>
      <c r="F38" s="56">
        <f ca="1">'Design Calculator'!F56</f>
        <v>175</v>
      </c>
      <c r="G38" s="123">
        <f ca="1">'Design Calculator'!G56</f>
        <v>175</v>
      </c>
      <c r="H38" s="4">
        <f>'Design Calculator'!H56</f>
        <v>175</v>
      </c>
    </row>
    <row r="39" spans="1:12">
      <c r="A39" s="25"/>
      <c r="E39" s="26"/>
      <c r="F39" s="63"/>
      <c r="G39" s="25"/>
    </row>
    <row r="40" spans="1:12">
      <c r="A40" s="25"/>
      <c r="E40" s="26" t="s">
        <v>162</v>
      </c>
      <c r="F40" s="63">
        <f>VINMAX*'Device Parameters'!E13/RsEFF/0.001</f>
        <v>45.363999999999997</v>
      </c>
      <c r="G40" s="25" t="s">
        <v>87</v>
      </c>
    </row>
    <row r="41" spans="1:12">
      <c r="A41" s="25"/>
      <c r="E41" s="26" t="s">
        <v>270</v>
      </c>
      <c r="F41" s="63">
        <f>'Design Calculator'!F49</f>
        <v>75</v>
      </c>
      <c r="G41" s="25" t="s">
        <v>87</v>
      </c>
    </row>
    <row r="42" spans="1:12">
      <c r="A42" s="25"/>
      <c r="E42" s="26" t="s">
        <v>260</v>
      </c>
      <c r="F42" s="16">
        <f>'Device Parameters'!E14*RsEFF*0.001*F41/1000</f>
        <v>22.732783705140648</v>
      </c>
      <c r="G42" s="25" t="s">
        <v>271</v>
      </c>
    </row>
    <row r="43" spans="1:12">
      <c r="A43" s="25"/>
      <c r="E43" s="26" t="s">
        <v>273</v>
      </c>
      <c r="F43" s="63">
        <f>RPWR</f>
        <v>22</v>
      </c>
      <c r="G43" s="25" t="s">
        <v>271</v>
      </c>
    </row>
    <row r="44" spans="1:12">
      <c r="A44" s="25"/>
      <c r="E44" s="26" t="s">
        <v>274</v>
      </c>
      <c r="F44" s="250">
        <f>(1/RsEFF)*1000*(Equations!F43*1000/'Device Parameters'!E14)</f>
        <v>72.582399999999993</v>
      </c>
      <c r="G44" s="25" t="s">
        <v>87</v>
      </c>
    </row>
    <row r="45" spans="1:12">
      <c r="A45" s="25"/>
      <c r="E45" s="26"/>
      <c r="G45" s="25"/>
    </row>
    <row r="46" spans="1:12">
      <c r="A46" s="25"/>
      <c r="E46" s="26"/>
      <c r="G46" s="25"/>
    </row>
    <row r="47" spans="1:12">
      <c r="A47" s="25"/>
      <c r="E47" s="26"/>
      <c r="G47" s="25"/>
    </row>
    <row r="48" spans="1:12">
      <c r="E48" s="2" t="s">
        <v>5</v>
      </c>
      <c r="F48" s="3">
        <f>F49*(1-0.24)</f>
        <v>55.162623999999994</v>
      </c>
      <c r="G48" t="s">
        <v>15</v>
      </c>
    </row>
    <row r="49" spans="1:12">
      <c r="E49" s="2" t="s">
        <v>6</v>
      </c>
      <c r="F49" s="3">
        <f>F44</f>
        <v>72.582399999999993</v>
      </c>
    </row>
    <row r="50" spans="1:12">
      <c r="E50" s="2" t="s">
        <v>7</v>
      </c>
      <c r="F50" s="3">
        <f>F49*(1+0.24)</f>
        <v>90.002175999999992</v>
      </c>
    </row>
    <row r="51" spans="1:12">
      <c r="E51" s="2"/>
      <c r="F51" s="1"/>
      <c r="H51" s="2"/>
      <c r="I51" s="1"/>
      <c r="K51" s="2"/>
      <c r="L51" s="1"/>
    </row>
    <row r="52" spans="1:12">
      <c r="E52" s="2"/>
      <c r="F52" s="1"/>
      <c r="H52" s="2"/>
      <c r="I52" s="1"/>
      <c r="K52" s="2"/>
      <c r="L52" s="1"/>
    </row>
    <row r="53" spans="1:12">
      <c r="A53" s="21" t="s">
        <v>144</v>
      </c>
    </row>
    <row r="54" spans="1:12">
      <c r="A54" s="21"/>
      <c r="D54" s="355" t="s">
        <v>313</v>
      </c>
      <c r="E54" s="356"/>
      <c r="F54" s="356"/>
      <c r="G54" s="356"/>
    </row>
    <row r="55" spans="1:12">
      <c r="A55" s="21"/>
      <c r="D55" s="167"/>
      <c r="E55" s="135"/>
      <c r="F55" s="135" t="s">
        <v>521</v>
      </c>
      <c r="G55" s="135" t="s">
        <v>527</v>
      </c>
      <c r="H55" s="135" t="s">
        <v>529</v>
      </c>
    </row>
    <row r="56" spans="1:12">
      <c r="A56" s="21"/>
      <c r="E56" s="26" t="s">
        <v>293</v>
      </c>
      <c r="F56" s="3">
        <f>Start_up!M2</f>
        <v>206.24999999999977</v>
      </c>
      <c r="G56" s="3">
        <f>Start_up!M121</f>
        <v>206.24999999999977</v>
      </c>
      <c r="H56" s="3">
        <f>Start_up!M240</f>
        <v>206.24999999999977</v>
      </c>
      <c r="I56" s="25" t="s">
        <v>8</v>
      </c>
    </row>
    <row r="57" spans="1:12">
      <c r="A57" s="21"/>
      <c r="E57" s="26" t="s">
        <v>294</v>
      </c>
      <c r="F57" s="3">
        <f>'Device Parameters'!D27</f>
        <v>0.5</v>
      </c>
      <c r="G57" s="3">
        <f>'Device Parameters'!D27</f>
        <v>0.5</v>
      </c>
      <c r="H57" s="3">
        <f>'Device Parameters'!D27</f>
        <v>0.5</v>
      </c>
    </row>
    <row r="58" spans="1:12">
      <c r="A58" s="21"/>
      <c r="E58" s="26" t="s">
        <v>295</v>
      </c>
      <c r="F58">
        <f>F56*(1+F57)</f>
        <v>309.37499999999966</v>
      </c>
      <c r="G58">
        <f t="shared" ref="G58:H58" si="0">G56*(1+G57)</f>
        <v>309.37499999999966</v>
      </c>
      <c r="H58">
        <f t="shared" si="0"/>
        <v>309.37499999999966</v>
      </c>
      <c r="I58" s="25" t="s">
        <v>8</v>
      </c>
    </row>
    <row r="59" spans="1:12">
      <c r="A59" s="21"/>
      <c r="E59" s="26" t="s">
        <v>296</v>
      </c>
      <c r="F59">
        <f>'Device Parameters'!D25/'Device Parameters'!D22*F58</f>
        <v>6574.2187499999927</v>
      </c>
      <c r="G59">
        <f>'Device Parameters'!D25/'Device Parameters'!D22*G58</f>
        <v>6574.2187499999927</v>
      </c>
      <c r="H59">
        <f>'Device Parameters'!D25/'Device Parameters'!D22*H58</f>
        <v>6574.2187499999927</v>
      </c>
      <c r="I59" s="25" t="s">
        <v>118</v>
      </c>
    </row>
    <row r="60" spans="1:12">
      <c r="A60" s="21"/>
      <c r="E60" s="26" t="s">
        <v>297</v>
      </c>
      <c r="F60" s="3">
        <f>'Design Calculator'!F83</f>
        <v>600</v>
      </c>
      <c r="G60" s="3">
        <f>'Design Calculator'!F83</f>
        <v>600</v>
      </c>
      <c r="H60" s="3">
        <f>'Design Calculator'!F83</f>
        <v>600</v>
      </c>
      <c r="I60" s="25" t="s">
        <v>118</v>
      </c>
    </row>
    <row r="61" spans="1:12">
      <c r="A61" s="21"/>
      <c r="E61" s="26" t="s">
        <v>300</v>
      </c>
      <c r="F61">
        <f>'Device Parameters'!D22/'Device Parameters'!D25*F60</f>
        <v>28.235294117647058</v>
      </c>
      <c r="G61">
        <f>'Device Parameters'!D22/'Device Parameters'!D25*G60</f>
        <v>28.235294117647058</v>
      </c>
      <c r="H61">
        <f>'Device Parameters'!D22/'Device Parameters'!D25*H60</f>
        <v>28.235294117647058</v>
      </c>
      <c r="I61" s="25" t="s">
        <v>8</v>
      </c>
    </row>
    <row r="62" spans="1:12">
      <c r="A62" s="21"/>
      <c r="E62" s="26" t="s">
        <v>308</v>
      </c>
      <c r="F62">
        <f ca="1">SOA!C29/F49</f>
        <v>11.117160591256255</v>
      </c>
      <c r="G62">
        <f ca="1">SOA!C77/F49</f>
        <v>9.4635296214759155</v>
      </c>
      <c r="H62">
        <f ca="1">SOA!C125/F49</f>
        <v>7.708939858174424</v>
      </c>
      <c r="I62" s="25"/>
    </row>
    <row r="63" spans="1:12">
      <c r="A63" s="21"/>
      <c r="D63" s="355" t="s">
        <v>317</v>
      </c>
      <c r="E63" s="356"/>
      <c r="F63" s="356"/>
      <c r="G63" s="356"/>
    </row>
    <row r="64" spans="1:12">
      <c r="A64" s="21"/>
      <c r="D64" s="167"/>
      <c r="E64" s="135"/>
      <c r="F64" s="135" t="s">
        <v>521</v>
      </c>
      <c r="G64" s="135" t="s">
        <v>527</v>
      </c>
      <c r="H64" s="135" t="s">
        <v>529</v>
      </c>
    </row>
    <row r="65" spans="1:9">
      <c r="A65" s="21"/>
      <c r="C65" s="25"/>
      <c r="D65" s="166"/>
      <c r="E65" s="26" t="s">
        <v>314</v>
      </c>
      <c r="F65" s="65">
        <f>'Design Calculator'!F89</f>
        <v>0.12</v>
      </c>
      <c r="G65" s="65">
        <f>'Design Calculator'!F89</f>
        <v>0.12</v>
      </c>
      <c r="H65" s="65">
        <f>'Design Calculator'!F89</f>
        <v>0.12</v>
      </c>
      <c r="I65" s="124" t="s">
        <v>315</v>
      </c>
    </row>
    <row r="66" spans="1:9">
      <c r="A66" s="21"/>
      <c r="C66" s="25"/>
      <c r="D66" s="166"/>
      <c r="E66" s="26" t="s">
        <v>338</v>
      </c>
      <c r="F66" s="1">
        <f>'Device Parameters'!D30/ss_rate</f>
        <v>133.33333333333334</v>
      </c>
      <c r="G66" s="1">
        <f>'Device Parameters'!D30/G65</f>
        <v>133.33333333333334</v>
      </c>
      <c r="H66" s="1">
        <f>'Device Parameters'!D30/H65</f>
        <v>133.33333333333334</v>
      </c>
      <c r="I66" s="124" t="s">
        <v>118</v>
      </c>
    </row>
    <row r="67" spans="1:9">
      <c r="A67" s="21"/>
      <c r="C67" s="25"/>
      <c r="D67" s="166"/>
      <c r="E67" s="26" t="s">
        <v>339</v>
      </c>
      <c r="F67" s="65">
        <f>'Design Calculator'!F91</f>
        <v>150</v>
      </c>
      <c r="G67" s="65">
        <f>'Design Calculator'!F91</f>
        <v>150</v>
      </c>
      <c r="H67" s="65">
        <f>'Design Calculator'!F91</f>
        <v>150</v>
      </c>
      <c r="I67" s="124" t="s">
        <v>118</v>
      </c>
    </row>
    <row r="68" spans="1:9">
      <c r="A68" s="21"/>
      <c r="C68" s="25"/>
      <c r="D68" s="166"/>
      <c r="E68" s="26" t="s">
        <v>340</v>
      </c>
      <c r="F68" s="1">
        <f>ss_rate*F66/F67</f>
        <v>0.10666666666666667</v>
      </c>
      <c r="G68" s="1">
        <f>G65*G66/G67</f>
        <v>0.10666666666666667</v>
      </c>
      <c r="H68" s="1">
        <f>H65*H66/H67</f>
        <v>0.10666666666666667</v>
      </c>
      <c r="I68" s="124" t="s">
        <v>315</v>
      </c>
    </row>
    <row r="69" spans="1:9">
      <c r="A69" s="21"/>
      <c r="C69" s="25"/>
      <c r="D69" s="166"/>
      <c r="E69" s="26" t="s">
        <v>316</v>
      </c>
      <c r="F69" s="65">
        <f>COUTMAX*F68/1000</f>
        <v>0.32</v>
      </c>
      <c r="G69" s="65">
        <f>COUTMAX*G68/1000</f>
        <v>0.32</v>
      </c>
      <c r="H69" s="65">
        <f>COUTMAX*H68/1000</f>
        <v>0.32</v>
      </c>
      <c r="I69" s="124" t="s">
        <v>25</v>
      </c>
    </row>
    <row r="70" spans="1:9">
      <c r="A70" s="21"/>
      <c r="C70" s="25"/>
      <c r="D70" s="166"/>
      <c r="E70" s="26" t="s">
        <v>331</v>
      </c>
      <c r="F70" s="65">
        <f>VINMAX/F68</f>
        <v>206.25</v>
      </c>
      <c r="G70" s="65">
        <f>VINMAX/G68</f>
        <v>206.25</v>
      </c>
      <c r="H70" s="65">
        <f>VINMAX/H68</f>
        <v>206.25</v>
      </c>
      <c r="I70" s="124" t="s">
        <v>8</v>
      </c>
    </row>
    <row r="71" spans="1:9">
      <c r="A71" s="21"/>
      <c r="C71" s="25"/>
      <c r="D71" s="166"/>
      <c r="E71" s="26" t="s">
        <v>332</v>
      </c>
      <c r="F71" s="65">
        <f>Start_up!N5</f>
        <v>1.1684062499999999</v>
      </c>
      <c r="G71" s="65">
        <f>Start_up!N124</f>
        <v>1.1684062499999999</v>
      </c>
      <c r="H71" s="65">
        <f>Start_up!N243</f>
        <v>1.1684062499999999</v>
      </c>
      <c r="I71" s="124" t="s">
        <v>321</v>
      </c>
    </row>
    <row r="72" spans="1:9">
      <c r="A72" s="21"/>
      <c r="C72" s="25"/>
      <c r="D72" s="166"/>
      <c r="E72" s="26" t="s">
        <v>333</v>
      </c>
      <c r="F72" s="65">
        <f>Start_up!Q4</f>
        <v>11.440000000000001</v>
      </c>
      <c r="G72" s="65">
        <f>Start_up!Q123</f>
        <v>11.440000000000001</v>
      </c>
      <c r="H72" s="65">
        <f>Start_up!Q242</f>
        <v>11.440000000000001</v>
      </c>
      <c r="I72" s="124" t="s">
        <v>87</v>
      </c>
    </row>
    <row r="73" spans="1:9">
      <c r="A73" s="21"/>
      <c r="D73" s="167"/>
      <c r="E73" s="26" t="s">
        <v>334</v>
      </c>
      <c r="F73" s="65">
        <f>F71/F72*1000</f>
        <v>102.13341346153844</v>
      </c>
      <c r="G73" s="65">
        <f t="shared" ref="G73:H73" si="1">G71/G72*1000</f>
        <v>102.13341346153844</v>
      </c>
      <c r="H73" s="65">
        <f t="shared" si="1"/>
        <v>102.13341346153844</v>
      </c>
      <c r="I73" s="124" t="s">
        <v>8</v>
      </c>
    </row>
    <row r="74" spans="1:9">
      <c r="A74" s="21"/>
      <c r="E74" s="26" t="s">
        <v>335</v>
      </c>
      <c r="F74" s="25">
        <f ca="1">SOA!H31</f>
        <v>87.360514587266692</v>
      </c>
      <c r="G74" s="25">
        <f ca="1">SOA!H79</f>
        <v>41.395011937510652</v>
      </c>
      <c r="H74" s="25">
        <f ca="1">SOA!H127</f>
        <v>100.77144828630081</v>
      </c>
      <c r="I74" s="124" t="s">
        <v>87</v>
      </c>
    </row>
    <row r="75" spans="1:9">
      <c r="A75" s="21"/>
      <c r="E75" s="26" t="s">
        <v>336</v>
      </c>
      <c r="F75" s="25">
        <f ca="1">F74/F72</f>
        <v>7.6364086177680663</v>
      </c>
      <c r="G75" s="25">
        <f t="shared" ref="G75:H75" ca="1" si="2">G74/G72</f>
        <v>3.6184450994327491</v>
      </c>
      <c r="H75" s="25">
        <f t="shared" ca="1" si="2"/>
        <v>8.8086930320193009</v>
      </c>
      <c r="I75" s="25"/>
    </row>
    <row r="76" spans="1:9">
      <c r="A76" s="21"/>
      <c r="E76" s="26"/>
      <c r="F76" s="25"/>
      <c r="G76" s="25"/>
    </row>
    <row r="77" spans="1:9">
      <c r="A77" s="21"/>
      <c r="E77" s="26"/>
      <c r="F77" s="25">
        <v>1</v>
      </c>
      <c r="G77" s="65" t="s">
        <v>8</v>
      </c>
    </row>
    <row r="78" spans="1:9">
      <c r="A78" s="21"/>
      <c r="D78" s="357" t="s">
        <v>345</v>
      </c>
      <c r="E78" s="357"/>
      <c r="F78" s="357"/>
      <c r="G78" s="357"/>
      <c r="H78" s="357"/>
    </row>
    <row r="79" spans="1:9">
      <c r="A79" s="21"/>
      <c r="E79" s="26" t="s">
        <v>341</v>
      </c>
      <c r="F79" s="168">
        <f>'Design Calculator'!F94</f>
        <v>300</v>
      </c>
      <c r="G79" s="168">
        <f>'Design Calculator'!F94</f>
        <v>300</v>
      </c>
      <c r="H79" s="168">
        <f>'Design Calculator'!F94</f>
        <v>300</v>
      </c>
      <c r="I79" s="25"/>
    </row>
    <row r="80" spans="1:9">
      <c r="A80" s="21"/>
      <c r="E80" s="26" t="s">
        <v>342</v>
      </c>
      <c r="F80" s="25">
        <f>'Device Parameters'!D25/'Device Parameters'!D22*F79</f>
        <v>6375</v>
      </c>
      <c r="G80" s="25">
        <f>'Device Parameters'!D25/'Device Parameters'!D22*G79</f>
        <v>6375</v>
      </c>
      <c r="H80" s="25">
        <f>'Device Parameters'!D25/'Device Parameters'!D22*H79</f>
        <v>6375</v>
      </c>
      <c r="I80" s="25" t="s">
        <v>118</v>
      </c>
    </row>
    <row r="81" spans="1:9">
      <c r="A81" s="21"/>
      <c r="E81" s="26" t="s">
        <v>343</v>
      </c>
      <c r="F81" s="168">
        <f>'Design Calculator'!F96</f>
        <v>6800</v>
      </c>
      <c r="G81" s="168">
        <f>'Design Calculator'!F96</f>
        <v>6800</v>
      </c>
      <c r="H81" s="168">
        <f>'Design Calculator'!F96</f>
        <v>6800</v>
      </c>
      <c r="I81" s="25" t="s">
        <v>118</v>
      </c>
    </row>
    <row r="82" spans="1:9">
      <c r="A82" s="21"/>
      <c r="E82" s="26" t="s">
        <v>348</v>
      </c>
      <c r="F82" s="25">
        <f>'Device Parameters'!D22/'Device Parameters'!D25*F81</f>
        <v>320</v>
      </c>
      <c r="G82" s="25">
        <f>'Device Parameters'!D22/'Device Parameters'!D25*G81</f>
        <v>320</v>
      </c>
      <c r="H82" s="25">
        <f>'Device Parameters'!D22/'Device Parameters'!D25*H81</f>
        <v>320</v>
      </c>
      <c r="I82" s="25" t="s">
        <v>8</v>
      </c>
    </row>
    <row r="83" spans="1:9">
      <c r="A83" s="21"/>
      <c r="E83" s="26" t="s">
        <v>347</v>
      </c>
      <c r="F83" s="25">
        <f ca="1">SOA!C29</f>
        <v>806.91019689879795</v>
      </c>
      <c r="G83" s="25">
        <f ca="1">SOA!C73</f>
        <v>1277.8793205793522</v>
      </c>
      <c r="H83" s="25">
        <f>SOA!C121</f>
        <v>999.16670778921275</v>
      </c>
      <c r="I83" s="25" t="s">
        <v>87</v>
      </c>
    </row>
    <row r="84" spans="1:9">
      <c r="A84" s="21"/>
      <c r="E84" s="26" t="s">
        <v>336</v>
      </c>
      <c r="F84" s="25">
        <f ca="1">F83/F44</f>
        <v>11.117160591256255</v>
      </c>
      <c r="G84" s="25">
        <f ca="1">G83/F44</f>
        <v>17.605911633940906</v>
      </c>
      <c r="H84" s="25">
        <f>H83/F44</f>
        <v>13.765964032454326</v>
      </c>
      <c r="I84" s="25"/>
    </row>
    <row r="85" spans="1:9">
      <c r="A85" s="21"/>
      <c r="E85" s="26"/>
      <c r="F85" s="25"/>
      <c r="G85" s="25"/>
    </row>
    <row r="86" spans="1:9">
      <c r="A86" s="21"/>
      <c r="E86" s="26"/>
      <c r="F86" s="25"/>
      <c r="G86" s="25"/>
    </row>
    <row r="87" spans="1:9">
      <c r="A87" s="21"/>
      <c r="E87" s="26"/>
      <c r="F87" s="25"/>
      <c r="G87" s="25"/>
    </row>
    <row r="88" spans="1:9">
      <c r="A88" s="21"/>
      <c r="E88" s="26"/>
      <c r="F88" s="25"/>
      <c r="G88" s="25"/>
    </row>
    <row r="89" spans="1:9">
      <c r="A89" s="21"/>
      <c r="E89" s="26"/>
      <c r="F89" s="25"/>
      <c r="G89" s="25"/>
    </row>
    <row r="90" spans="1:9">
      <c r="A90" s="21"/>
      <c r="E90" s="26"/>
      <c r="F90" s="25"/>
      <c r="G90" s="25"/>
    </row>
    <row r="91" spans="1:9">
      <c r="A91" s="21"/>
      <c r="E91" s="26"/>
      <c r="F91" s="25"/>
      <c r="G91" s="25"/>
    </row>
    <row r="92" spans="1:9">
      <c r="A92" s="21"/>
      <c r="E92" s="26"/>
      <c r="F92" s="25"/>
      <c r="G92" s="25"/>
    </row>
    <row r="93" spans="1:9">
      <c r="A93" s="21"/>
      <c r="F93" s="25"/>
    </row>
    <row r="94" spans="1:9">
      <c r="A94" s="25"/>
      <c r="E94" s="26"/>
      <c r="F94" s="25"/>
    </row>
    <row r="95" spans="1:9">
      <c r="A95" s="25"/>
      <c r="E95" s="26"/>
      <c r="F95" s="25"/>
    </row>
    <row r="96" spans="1:9">
      <c r="D96" s="25"/>
      <c r="E96" s="26"/>
      <c r="F96" s="25"/>
    </row>
    <row r="97" spans="4:13">
      <c r="D97" s="25"/>
      <c r="E97" s="26"/>
      <c r="F97" s="25"/>
    </row>
    <row r="98" spans="4:13">
      <c r="D98" s="25"/>
      <c r="E98" s="26"/>
      <c r="F98" s="25"/>
    </row>
    <row r="99" spans="4:13">
      <c r="E99" s="26"/>
      <c r="F99" s="25"/>
      <c r="J99" s="5"/>
      <c r="M99" s="5"/>
    </row>
    <row r="100" spans="4:13">
      <c r="E100" s="26"/>
      <c r="F100" s="25"/>
      <c r="J100" s="5"/>
      <c r="M100" s="5"/>
    </row>
    <row r="101" spans="4:13">
      <c r="E101" s="2"/>
      <c r="F101" s="25"/>
      <c r="G101" t="s">
        <v>16</v>
      </c>
      <c r="J101" s="6"/>
      <c r="M101" s="6"/>
    </row>
    <row r="102" spans="4:13">
      <c r="E102" s="26"/>
      <c r="F102" s="25"/>
      <c r="J102" s="6"/>
      <c r="M102" s="6"/>
    </row>
    <row r="103" spans="4:13">
      <c r="E103" s="2"/>
      <c r="F103" s="25"/>
    </row>
    <row r="104" spans="4:13">
      <c r="E104" s="2"/>
      <c r="F104" s="25"/>
      <c r="I104" t="s">
        <v>27</v>
      </c>
      <c r="L104" t="s">
        <v>50</v>
      </c>
    </row>
    <row r="105" spans="4:13">
      <c r="E105" s="26"/>
      <c r="F105" s="25"/>
      <c r="G105" s="25" t="s">
        <v>25</v>
      </c>
    </row>
    <row r="106" spans="4:13">
      <c r="E106" s="26"/>
      <c r="F106" s="25"/>
      <c r="G106" s="25" t="s">
        <v>190</v>
      </c>
    </row>
    <row r="107" spans="4:13">
      <c r="E107" s="26"/>
      <c r="F107" s="25"/>
      <c r="G107" s="25" t="s">
        <v>118</v>
      </c>
    </row>
    <row r="108" spans="4:13">
      <c r="E108" s="26"/>
      <c r="G108" s="25"/>
    </row>
    <row r="109" spans="4:13">
      <c r="E109" s="26"/>
      <c r="G109" s="25"/>
    </row>
    <row r="110" spans="4:13">
      <c r="E110" s="26" t="s">
        <v>219</v>
      </c>
      <c r="F110" s="3">
        <f>IF('Design Calculator'!F30="Soft Start", Equations!F81, Equations!F60)*'Device Parameters'!C39*1000/'Device Parameters'!E43*0.001</f>
        <v>3196</v>
      </c>
      <c r="G110" s="3">
        <f>IF('Design Calculator'!F30="Soft Start", Equations!G81, Equations!G60)*'Device Parameters'!C39*1000/'Device Parameters'!E43*0.001</f>
        <v>3196</v>
      </c>
      <c r="H110" s="3">
        <f>IF('Design Calculator'!F30="Soft Start", Equations!H81, Equations!H60)*'Device Parameters'!C39*1000/'Device Parameters'!E43*0.001</f>
        <v>3196</v>
      </c>
      <c r="I110" s="25" t="s">
        <v>8</v>
      </c>
    </row>
    <row r="111" spans="4:13">
      <c r="E111" s="26" t="s">
        <v>9</v>
      </c>
      <c r="F111" s="3">
        <f>IF('Design Calculator'!F30="Soft Start", Equations!F81, Equations!F60)*0.001*'Device Parameters'!D39*1000/'Device Parameters'!D43</f>
        <v>4945.454545454545</v>
      </c>
      <c r="G111" s="3">
        <f>IF('Design Calculator'!F30="Soft Start", Equations!G81, Equations!G60)*0.001*'Device Parameters'!D39*1000/'Device Parameters'!D43</f>
        <v>4945.454545454545</v>
      </c>
      <c r="H111" s="3">
        <f>IF('Design Calculator'!F30="Soft Start", Equations!H81, Equations!H60)*0.001*'Device Parameters'!D39*1000/'Device Parameters'!D43</f>
        <v>4945.454545454545</v>
      </c>
      <c r="I111" s="25" t="s">
        <v>8</v>
      </c>
    </row>
    <row r="112" spans="4:13">
      <c r="E112" s="26" t="s">
        <v>220</v>
      </c>
      <c r="F112" s="3">
        <f>IF('Design Calculator'!F30="Soft Start", Equations!F81, Equations!F60)*0.001*'Device Parameters'!E39*1000/'Device Parameters'!C43</f>
        <v>9429.3333333333339</v>
      </c>
      <c r="G112" s="3">
        <f>IF('Design Calculator'!F30="Soft Start", Equations!G81, Equations!G60)*0.001*'Device Parameters'!E39*1000/'Device Parameters'!C43</f>
        <v>9429.3333333333339</v>
      </c>
      <c r="H112" s="3">
        <f>IF('Design Calculator'!F30="Soft Start", Equations!H81, Equations!H60)*0.001*'Device Parameters'!E39*1000/'Device Parameters'!C43</f>
        <v>9429.3333333333339</v>
      </c>
      <c r="I112" s="25" t="s">
        <v>8</v>
      </c>
    </row>
    <row r="113" spans="4:12">
      <c r="E113" s="26" t="s">
        <v>221</v>
      </c>
      <c r="F113">
        <f>IF('Design Calculator'!F30="Soft Start", Equations!F81, Equations!F60)*(J113+K113+L113)</f>
        <v>59371.763333333329</v>
      </c>
      <c r="G113">
        <f>IF('Design Calculator'!F30="Soft Start", Equations!G81, Equations!G60)*(J113+K113+L113)</f>
        <v>59371.763333333329</v>
      </c>
      <c r="H113">
        <f>IF('Design Calculator'!F30="Soft Start", Equations!H81, Equations!H60)*(J113+K113+L113)</f>
        <v>59371.763333333329</v>
      </c>
      <c r="I113" s="25" t="s">
        <v>8</v>
      </c>
      <c r="J113">
        <f>(('Device Parameters'!C39-'Device Parameters'!E40)/'Device Parameters'!E45)*7</f>
        <v>0.14274166666666666</v>
      </c>
      <c r="K113">
        <f>(('Device Parameters'!C39-'Device Parameters'!C40)/'Device Parameters'!D46)*8</f>
        <v>8.2335999999999991</v>
      </c>
      <c r="L113">
        <f>(('Device Parameters'!C40-'Device Parameters'!D41)/'Device Parameters'!D46)</f>
        <v>0.3548</v>
      </c>
    </row>
    <row r="114" spans="4:12">
      <c r="E114" s="26" t="s">
        <v>10</v>
      </c>
      <c r="F114">
        <f>IF('Design Calculator'!F30="Soft Start", Equations!F81, Equations!F60)*(J114+K114+L114)</f>
        <v>63964.000000000007</v>
      </c>
      <c r="G114">
        <f>IF('Design Calculator'!F30="Soft Start", Equations!G81, Equations!G60)*(J114+K114+L114)</f>
        <v>63964.000000000007</v>
      </c>
      <c r="H114">
        <f>IF('Design Calculator'!F30="Soft Start", Equations!H81, Equations!H60)*(J114+K114+L114)</f>
        <v>63964.000000000007</v>
      </c>
      <c r="I114" s="25" t="s">
        <v>8</v>
      </c>
      <c r="J114">
        <f>(('Device Parameters'!D39-'Device Parameters'!D40)/'Device Parameters'!D45)*7</f>
        <v>0.22647058823529415</v>
      </c>
      <c r="K114">
        <f>(('Device Parameters'!D39-'Device Parameters'!D40)/'Device Parameters'!D46)*8</f>
        <v>8.8000000000000007</v>
      </c>
      <c r="L114">
        <f>(('Device Parameters'!D40-'Device Parameters'!D41)/'Device Parameters'!D46)</f>
        <v>0.38</v>
      </c>
    </row>
    <row r="115" spans="4:12">
      <c r="E115" s="26" t="s">
        <v>241</v>
      </c>
      <c r="F115">
        <f>IF('Design Calculator'!F30="Soft Start", Equations!F81, Equations!F60)*(J115+K115+L115)</f>
        <v>67480.880000000019</v>
      </c>
      <c r="G115">
        <f>IF('Design Calculator'!F30="Soft Start", Equations!G81, Equations!G60)*(J115+K115+L115)</f>
        <v>67480.880000000019</v>
      </c>
      <c r="H115">
        <f>IF('Design Calculator'!F30="Soft Start", Equations!H81, Equations!H60)*(J115+K115+L115)</f>
        <v>67480.880000000019</v>
      </c>
      <c r="I115" s="25" t="s">
        <v>8</v>
      </c>
      <c r="J115">
        <f>(('Device Parameters'!E39-'Device Parameters'!C40)/'Device Parameters'!C45)*7</f>
        <v>0.40805882352941175</v>
      </c>
      <c r="K115">
        <f>(('Device Parameters'!E39-'Device Parameters'!E40)/'Device Parameters'!D46)*8</f>
        <v>9.1104000000000021</v>
      </c>
      <c r="L115">
        <f>(('Device Parameters'!E40-'Device Parameters'!D41)/'Device Parameters'!D46)</f>
        <v>0.40519999999999995</v>
      </c>
    </row>
    <row r="116" spans="4:12">
      <c r="E116" s="26" t="s">
        <v>240</v>
      </c>
      <c r="F116" t="e">
        <f>(1+'Design Calculator'!#REF!/'Design Calculator'!#REF!)*'Device Parameters'!C51</f>
        <v>#REF!</v>
      </c>
      <c r="G116" s="25"/>
    </row>
    <row r="117" spans="4:12">
      <c r="E117" s="26" t="s">
        <v>239</v>
      </c>
      <c r="F117" t="e">
        <f>(1+'Design Calculator'!#REF!/'Design Calculator'!#REF!)*'Device Parameters'!D51</f>
        <v>#REF!</v>
      </c>
      <c r="G117" s="25"/>
    </row>
    <row r="118" spans="4:12">
      <c r="E118" s="26" t="s">
        <v>238</v>
      </c>
      <c r="F118" t="e">
        <f>(1+'Design Calculator'!#REF!/'Design Calculator'!#REF!)*'Device Parameters'!E51</f>
        <v>#REF!</v>
      </c>
    </row>
    <row r="119" spans="4:12">
      <c r="E119" s="26" t="s">
        <v>242</v>
      </c>
      <c r="F119" t="e">
        <f>('Design Calculator'!#REF!*'Device Parameters'!C52)</f>
        <v>#REF!</v>
      </c>
    </row>
    <row r="120" spans="4:12">
      <c r="E120" s="26" t="s">
        <v>243</v>
      </c>
      <c r="F120" t="e">
        <f>('Design Calculator'!#REF!*'Device Parameters'!$D$52)</f>
        <v>#REF!</v>
      </c>
    </row>
    <row r="121" spans="4:12">
      <c r="E121" s="26" t="s">
        <v>244</v>
      </c>
      <c r="F121" t="e">
        <f>('Design Calculator'!#REF!*'Device Parameters'!$E$52)</f>
        <v>#REF!</v>
      </c>
    </row>
    <row r="122" spans="4:12">
      <c r="E122" s="26"/>
    </row>
    <row r="123" spans="4:12">
      <c r="E123" s="26"/>
    </row>
    <row r="124" spans="4:12">
      <c r="D124" s="21"/>
      <c r="I124" t="s">
        <v>28</v>
      </c>
      <c r="L124" t="s">
        <v>51</v>
      </c>
    </row>
    <row r="125" spans="4:12">
      <c r="D125" s="21"/>
      <c r="I125" t="s">
        <v>29</v>
      </c>
      <c r="L125" t="s">
        <v>52</v>
      </c>
    </row>
    <row r="126" spans="4:12">
      <c r="D126" s="21"/>
      <c r="I126" t="s">
        <v>30</v>
      </c>
      <c r="L126" t="s">
        <v>53</v>
      </c>
    </row>
    <row r="129" spans="2:9">
      <c r="E129" s="2" t="s">
        <v>19</v>
      </c>
    </row>
    <row r="130" spans="2:9">
      <c r="E130" s="2" t="s">
        <v>20</v>
      </c>
    </row>
    <row r="131" spans="2:9">
      <c r="E131" s="2"/>
      <c r="F131" s="1" t="s">
        <v>25</v>
      </c>
      <c r="G131" s="1" t="s">
        <v>26</v>
      </c>
      <c r="H131" s="1" t="s">
        <v>411</v>
      </c>
      <c r="I131" s="1" t="s">
        <v>412</v>
      </c>
    </row>
    <row r="132" spans="2:9">
      <c r="E132" s="2" t="s">
        <v>33</v>
      </c>
      <c r="F132" s="16">
        <f>('Design Calculator'!F102-'Design Calculator'!F103)*1000/21</f>
        <v>47.61904761904762</v>
      </c>
      <c r="G132" s="16">
        <f>('Design Calculator'!F102-'Design Calculator'!F103)*1000/21</f>
        <v>47.61904761904762</v>
      </c>
    </row>
    <row r="133" spans="2:9">
      <c r="E133" s="2" t="s">
        <v>32</v>
      </c>
      <c r="F133" s="16">
        <f>2.5*F132/('Design Calculator'!F103-2.5)-F134</f>
        <v>2.8792912513842746</v>
      </c>
      <c r="G133" s="16">
        <f>2.5*G132/('Design Calculator'!F103-2.5)</f>
        <v>9.5238095238095237</v>
      </c>
    </row>
    <row r="134" spans="2:9">
      <c r="E134" s="2" t="s">
        <v>31</v>
      </c>
      <c r="F134" s="16">
        <f>(F132*'Design Calculator'!F103*2.5)/('Design Calculator'!F104*('Design Calculator'!F103-2.5))</f>
        <v>6.6445182724252492</v>
      </c>
      <c r="G134" s="16">
        <f>('Design Calculator'!F104-'Design Calculator'!F105)*1000/21</f>
        <v>23.80952380952381</v>
      </c>
    </row>
    <row r="135" spans="2:9">
      <c r="E135" s="2" t="s">
        <v>34</v>
      </c>
      <c r="F135" s="1"/>
      <c r="G135" s="16">
        <f>2.5*G134/('Design Calculator'!F104-2.5)</f>
        <v>3.1328320802005014</v>
      </c>
    </row>
    <row r="136" spans="2:9">
      <c r="B136" s="8"/>
      <c r="C136" s="9"/>
      <c r="D136" s="9"/>
      <c r="E136" s="10" t="s">
        <v>38</v>
      </c>
      <c r="F136" s="16">
        <f>2.45+('Design Calculator'!F$110*((2.45/('Design Calculator'!F$111+'Design Calculator'!F$112))+(12/1000)))</f>
        <v>6.4428182991202352</v>
      </c>
      <c r="G136" s="16">
        <f>2.45+('Design Calculator'!F$110*((2.45/'Design Calculator'!F$111)+(12/1000)))</f>
        <v>15.302387368421055</v>
      </c>
    </row>
    <row r="137" spans="2:9">
      <c r="B137" s="11"/>
      <c r="E137" s="12" t="s">
        <v>39</v>
      </c>
      <c r="F137" s="16">
        <f>2.5+('Design Calculator'!F$110*((2.5/('Design Calculator'!F$111+'Design Calculator'!F$112))+(21/1000)))</f>
        <v>6.991222346041055</v>
      </c>
      <c r="G137" s="16">
        <f>2.5+('Design Calculator'!F$110*((2.5/'Design Calculator'!F$111)+(21/1000)))</f>
        <v>16.031598947368423</v>
      </c>
    </row>
    <row r="138" spans="2:9">
      <c r="B138" s="13"/>
      <c r="C138" s="14"/>
      <c r="D138" s="14"/>
      <c r="E138" s="15" t="s">
        <v>40</v>
      </c>
      <c r="F138" s="16">
        <f>2.55+('Design Calculator'!F$110*((2.55/('Design Calculator'!F$111+'Design Calculator'!F$112))+(30/1000)))</f>
        <v>7.5396263929618756</v>
      </c>
      <c r="G138" s="16">
        <f>2.55+('Design Calculator'!F$110*((2.55/'Design Calculator'!F$111)+(30/1000)))</f>
        <v>16.760810526315787</v>
      </c>
    </row>
    <row r="139" spans="2:9">
      <c r="E139" s="2" t="s">
        <v>41</v>
      </c>
      <c r="F139" s="16">
        <f>2.45*('Design Calculator'!F$110+'Design Calculator'!F$111+'Design Calculator'!F$112)/('Design Calculator'!F$111+'Design Calculator'!F$112)</f>
        <v>5.8713782991202343</v>
      </c>
      <c r="G139" s="16">
        <f>2.45*('Design Calculator'!F$110+'Design Calculator'!F$111)/'Design Calculator'!F$111</f>
        <v>14.730947368421054</v>
      </c>
    </row>
    <row r="140" spans="2:9">
      <c r="E140" s="2" t="s">
        <v>42</v>
      </c>
      <c r="F140" s="16">
        <f>2.5*('Design Calculator'!F$110+'Design Calculator'!F$111+'Design Calculator'!F$112)/('Design Calculator'!F$111+'Design Calculator'!F$112)</f>
        <v>5.9912023460410557</v>
      </c>
      <c r="G140" s="16">
        <f>2.5*('Design Calculator'!F$110+'Design Calculator'!F$111)/'Design Calculator'!F$111</f>
        <v>15.03157894736842</v>
      </c>
    </row>
    <row r="141" spans="2:9">
      <c r="E141" s="2" t="s">
        <v>43</v>
      </c>
      <c r="F141" s="16">
        <f>2.55*('Design Calculator'!F$110+'Design Calculator'!F$111+'Design Calculator'!F$112)/('Design Calculator'!F$111+'Design Calculator'!F$112)</f>
        <v>6.1110263929618762</v>
      </c>
      <c r="G141" s="16">
        <f>2.55*('Design Calculator'!F$110+'Design Calculator'!F$111)/'Design Calculator'!F$111</f>
        <v>15.332210526315787</v>
      </c>
    </row>
    <row r="142" spans="2:9">
      <c r="B142" s="8"/>
      <c r="C142" s="9"/>
      <c r="D142" s="9"/>
      <c r="E142" s="10" t="s">
        <v>44</v>
      </c>
      <c r="F142" s="16">
        <f>2.45*('Design Calculator'!F$110+'Design Calculator'!F$111+'Design Calculator'!F$112)/'Design Calculator'!F$112</f>
        <v>8.1387804878048779</v>
      </c>
      <c r="G142" s="16">
        <f>2.45*('Design Calculator'!F$112+'Design Calculator'!F$113)/'Design Calculator'!F$113</f>
        <v>22.540000000000003</v>
      </c>
    </row>
    <row r="143" spans="2:9">
      <c r="B143" s="11"/>
      <c r="E143" s="12" t="s">
        <v>45</v>
      </c>
      <c r="F143" s="16">
        <f>2.5*('Design Calculator'!F$110+'Design Calculator'!F$111+'Design Calculator'!F$112)/'Design Calculator'!F$112</f>
        <v>8.3048780487804876</v>
      </c>
      <c r="G143" s="16">
        <f>2.5*('Design Calculator'!F$112+'Design Calculator'!F$113)/'Design Calculator'!F$113</f>
        <v>23</v>
      </c>
    </row>
    <row r="144" spans="2:9">
      <c r="B144" s="13"/>
      <c r="C144" s="14"/>
      <c r="D144" s="14"/>
      <c r="E144" s="15" t="s">
        <v>46</v>
      </c>
      <c r="F144" s="16">
        <f>2.55*('Design Calculator'!F$110+'Design Calculator'!F$111+'Design Calculator'!F$112)/'Design Calculator'!F$112</f>
        <v>8.4709756097560973</v>
      </c>
      <c r="G144" s="16">
        <f>2.55*('Design Calculator'!F$112+'Design Calculator'!F$113)/'Design Calculator'!F$113</f>
        <v>23.459999999999997</v>
      </c>
    </row>
    <row r="145" spans="5:7">
      <c r="E145" s="2" t="s">
        <v>47</v>
      </c>
      <c r="F145" s="16">
        <f>2.45+(('Design Calculator'!F$110+'Design Calculator'!F$111)*((2.45/'Design Calculator'!F$112)-(30/1000)))</f>
        <v>6.4251804878048784</v>
      </c>
      <c r="G145" s="16">
        <f>2.45+('Design Calculator'!F$112*((2.45/'Design Calculator'!F$113)-(30/1000)))</f>
        <v>21.802000000000003</v>
      </c>
    </row>
    <row r="146" spans="5:7">
      <c r="E146" s="2" t="s">
        <v>48</v>
      </c>
      <c r="F146" s="16">
        <f>2.5+(('Design Calculator'!F$110+'Design Calculator'!F$111)*((2.5/'Design Calculator'!F$112)-(21/1000)))</f>
        <v>7.105358048780487</v>
      </c>
      <c r="G146" s="16">
        <f>2.5+('Design Calculator'!F$112*((2.5/'Design Calculator'!F$113)-(21/1000)))</f>
        <v>22.483400000000003</v>
      </c>
    </row>
    <row r="147" spans="5:7">
      <c r="E147" s="2" t="s">
        <v>49</v>
      </c>
      <c r="F147" s="16">
        <f>2.55+(('Design Calculator'!F$110+'Design Calculator'!F$111)*((2.55/'Design Calculator'!F$112)-(12/1000)))</f>
        <v>7.7855356097560966</v>
      </c>
      <c r="G147" s="16">
        <f>2.55+('Design Calculator'!F$112*((2.55/'Design Calculator'!F$113)-(12/1000)))</f>
        <v>23.1648</v>
      </c>
    </row>
    <row r="155" spans="5:7">
      <c r="E155" s="26" t="s">
        <v>115</v>
      </c>
      <c r="F155" s="25" t="e">
        <f>'Design Calculator'!#REF!</f>
        <v>#REF!</v>
      </c>
      <c r="G155" s="25" t="s">
        <v>8</v>
      </c>
    </row>
    <row r="156" spans="5:7">
      <c r="E156" s="26" t="s">
        <v>116</v>
      </c>
      <c r="F156" s="25">
        <f>'Design Calculator'!F20</f>
        <v>18</v>
      </c>
      <c r="G156" s="25" t="s">
        <v>86</v>
      </c>
    </row>
    <row r="157" spans="5:7">
      <c r="E157" s="26" t="s">
        <v>117</v>
      </c>
      <c r="F157" t="e">
        <f>22/F156*F155</f>
        <v>#REF!</v>
      </c>
      <c r="G157" s="25" t="s">
        <v>118</v>
      </c>
    </row>
    <row r="178" spans="3:25">
      <c r="C178" s="21" t="s">
        <v>56</v>
      </c>
    </row>
    <row r="179" spans="3:25">
      <c r="E179" s="2" t="s">
        <v>57</v>
      </c>
      <c r="F179" s="1">
        <f>'Design Calculator'!F35</f>
        <v>2.5</v>
      </c>
    </row>
    <row r="180" spans="3:25" ht="15">
      <c r="E180" s="2" t="s">
        <v>58</v>
      </c>
      <c r="F180" s="1">
        <f>'Design Calculator'!F51</f>
        <v>22</v>
      </c>
    </row>
    <row r="181" spans="3:25">
      <c r="E181" s="2" t="s">
        <v>59</v>
      </c>
      <c r="F181" s="1">
        <f>'Design Calculator'!F21</f>
        <v>22</v>
      </c>
    </row>
    <row r="183" spans="3:25">
      <c r="E183" s="2" t="s">
        <v>60</v>
      </c>
      <c r="F183" s="16">
        <f>F24</f>
        <v>20.0014</v>
      </c>
    </row>
    <row r="184" spans="3:25">
      <c r="E184" s="2" t="s">
        <v>61</v>
      </c>
      <c r="F184" s="16">
        <f>F25</f>
        <v>22.681999999999999</v>
      </c>
    </row>
    <row r="185" spans="3:25">
      <c r="E185" s="2" t="s">
        <v>62</v>
      </c>
      <c r="F185" s="16">
        <f>F26</f>
        <v>25.3626</v>
      </c>
    </row>
    <row r="187" spans="3:25">
      <c r="E187" s="2" t="s">
        <v>63</v>
      </c>
      <c r="F187" s="5">
        <f>F48</f>
        <v>55.162623999999994</v>
      </c>
    </row>
    <row r="188" spans="3:25">
      <c r="E188" s="2" t="s">
        <v>64</v>
      </c>
      <c r="F188" s="5">
        <f>F49</f>
        <v>72.582399999999993</v>
      </c>
      <c r="Y188" s="25" t="s">
        <v>87</v>
      </c>
    </row>
    <row r="189" spans="3:25">
      <c r="E189" s="2" t="s">
        <v>65</v>
      </c>
      <c r="F189" s="5">
        <f>F50</f>
        <v>90.002175999999992</v>
      </c>
    </row>
    <row r="194" spans="2:24">
      <c r="D194" t="s">
        <v>66</v>
      </c>
      <c r="E194" s="2"/>
      <c r="I194" t="s">
        <v>67</v>
      </c>
      <c r="N194" t="s">
        <v>82</v>
      </c>
      <c r="R194" s="25" t="s">
        <v>88</v>
      </c>
    </row>
    <row r="195" spans="2:24">
      <c r="D195" t="s">
        <v>68</v>
      </c>
      <c r="I195" t="s">
        <v>69</v>
      </c>
      <c r="N195" t="s">
        <v>74</v>
      </c>
      <c r="R195" s="25" t="s">
        <v>89</v>
      </c>
    </row>
    <row r="196" spans="2:24">
      <c r="B196" s="25" t="s">
        <v>138</v>
      </c>
      <c r="D196" s="4" t="s">
        <v>70</v>
      </c>
      <c r="E196" s="4" t="s">
        <v>71</v>
      </c>
      <c r="F196" s="123" t="s">
        <v>72</v>
      </c>
      <c r="G196" s="4" t="s">
        <v>73</v>
      </c>
      <c r="I196" s="4" t="s">
        <v>70</v>
      </c>
      <c r="J196" s="4" t="s">
        <v>71</v>
      </c>
      <c r="K196" s="4" t="s">
        <v>72</v>
      </c>
      <c r="L196" s="4" t="s">
        <v>73</v>
      </c>
      <c r="N196" t="s">
        <v>75</v>
      </c>
      <c r="R196" s="4" t="s">
        <v>70</v>
      </c>
      <c r="S196" s="4" t="s">
        <v>71</v>
      </c>
      <c r="T196" s="4" t="s">
        <v>72</v>
      </c>
      <c r="U196" s="4" t="s">
        <v>73</v>
      </c>
      <c r="V196" s="123" t="s">
        <v>81</v>
      </c>
      <c r="X196" s="132" t="s">
        <v>306</v>
      </c>
    </row>
    <row r="197" spans="2:24">
      <c r="B197">
        <f>D197*F197</f>
        <v>63.921999999999997</v>
      </c>
      <c r="D197" s="4">
        <v>1</v>
      </c>
      <c r="E197" s="22">
        <f t="shared" ref="E197:E213" si="3">(1-$F$284)*F197</f>
        <v>47.941499999999998</v>
      </c>
      <c r="F197" s="22">
        <f t="shared" ref="F197:F228" si="4">($F$188+(D197-VINMAX)*$E$281/$E$282)/D197</f>
        <v>63.921999999999997</v>
      </c>
      <c r="G197" s="22">
        <f t="shared" ref="G197:G213" si="5">F197*(1+$F$284)</f>
        <v>79.902500000000003</v>
      </c>
      <c r="I197" s="4">
        <v>1</v>
      </c>
      <c r="J197" s="22">
        <f t="shared" ref="J197:J213" si="6">IF(E197&gt;$F$183,$F$183,E197)</f>
        <v>20.0014</v>
      </c>
      <c r="K197" s="22">
        <f t="shared" ref="K197:K213" si="7">IF(F197&gt;$F$184,$F$184,F197)</f>
        <v>22.681999999999999</v>
      </c>
      <c r="L197" s="22">
        <f t="shared" ref="L197:L213" si="8">IF(G197&gt;$F$185,$F$185,G197)</f>
        <v>25.3626</v>
      </c>
      <c r="N197" t="s">
        <v>76</v>
      </c>
      <c r="R197" s="4">
        <v>1</v>
      </c>
      <c r="S197" s="22">
        <f>IF($R197&gt;$F$181,0.0000000005,J197)</f>
        <v>20.0014</v>
      </c>
      <c r="T197" s="22">
        <f>IF($R197&gt;$F$181,0.0000000005,K197)</f>
        <v>22.681999999999999</v>
      </c>
      <c r="U197" s="22">
        <f t="shared" ref="U197:U213" si="9">IF($R197&gt;$F$181,0.0000000005,L197)</f>
        <v>25.3626</v>
      </c>
      <c r="V197" s="22">
        <f t="shared" ref="V197:V213" ca="1" si="10">$X$197/R197</f>
        <v>806.91019689879795</v>
      </c>
      <c r="X197">
        <f ca="1">SOA!C29</f>
        <v>806.91019689879795</v>
      </c>
    </row>
    <row r="198" spans="2:24">
      <c r="B198">
        <f t="shared" ref="B198:B261" si="11">D198*F198</f>
        <v>64.334399999999988</v>
      </c>
      <c r="D198" s="4">
        <v>2</v>
      </c>
      <c r="E198" s="22">
        <f t="shared" si="3"/>
        <v>24.125399999999996</v>
      </c>
      <c r="F198" s="22">
        <f t="shared" si="4"/>
        <v>32.167199999999994</v>
      </c>
      <c r="G198" s="22">
        <f t="shared" si="5"/>
        <v>40.208999999999989</v>
      </c>
      <c r="I198" s="4">
        <v>2</v>
      </c>
      <c r="J198" s="22">
        <f t="shared" si="6"/>
        <v>20.0014</v>
      </c>
      <c r="K198" s="22">
        <f t="shared" si="7"/>
        <v>22.681999999999999</v>
      </c>
      <c r="L198" s="22">
        <f t="shared" si="8"/>
        <v>25.3626</v>
      </c>
      <c r="R198" s="4">
        <v>2</v>
      </c>
      <c r="S198" s="22">
        <f t="shared" ref="S198:S213" si="12">IF($R198&gt;$F$181,0.0000000005,J198)</f>
        <v>20.0014</v>
      </c>
      <c r="T198" s="22">
        <f t="shared" ref="T198:T213" si="13">IF($R198&gt;$F$181,0.0000000005,K198)</f>
        <v>22.681999999999999</v>
      </c>
      <c r="U198" s="22">
        <f t="shared" si="9"/>
        <v>25.3626</v>
      </c>
      <c r="V198" s="22">
        <f t="shared" ca="1" si="10"/>
        <v>403.45509844939897</v>
      </c>
    </row>
    <row r="199" spans="2:24">
      <c r="B199">
        <f t="shared" si="11"/>
        <v>64.746799999999993</v>
      </c>
      <c r="D199" s="4">
        <v>3</v>
      </c>
      <c r="E199" s="22">
        <f t="shared" si="3"/>
        <v>16.186699999999998</v>
      </c>
      <c r="F199" s="22">
        <f t="shared" si="4"/>
        <v>21.582266666666666</v>
      </c>
      <c r="G199" s="22">
        <f t="shared" si="5"/>
        <v>26.977833333333333</v>
      </c>
      <c r="I199" s="4">
        <v>3</v>
      </c>
      <c r="J199" s="22">
        <f t="shared" si="6"/>
        <v>16.186699999999998</v>
      </c>
      <c r="K199" s="22">
        <f t="shared" si="7"/>
        <v>21.582266666666666</v>
      </c>
      <c r="L199" s="22">
        <f t="shared" si="8"/>
        <v>25.3626</v>
      </c>
      <c r="O199" s="23" t="s">
        <v>77</v>
      </c>
      <c r="R199" s="4">
        <v>3</v>
      </c>
      <c r="S199" s="22">
        <f t="shared" si="12"/>
        <v>16.186699999999998</v>
      </c>
      <c r="T199" s="22">
        <f t="shared" si="13"/>
        <v>21.582266666666666</v>
      </c>
      <c r="U199" s="22">
        <f t="shared" si="9"/>
        <v>25.3626</v>
      </c>
      <c r="V199" s="22">
        <f t="shared" ca="1" si="10"/>
        <v>268.97006563293263</v>
      </c>
    </row>
    <row r="200" spans="2:24">
      <c r="B200">
        <f t="shared" si="11"/>
        <v>65.159199999999998</v>
      </c>
      <c r="D200" s="4">
        <v>4</v>
      </c>
      <c r="E200" s="22">
        <f t="shared" si="3"/>
        <v>12.21735</v>
      </c>
      <c r="F200" s="22">
        <f t="shared" si="4"/>
        <v>16.2898</v>
      </c>
      <c r="G200" s="22">
        <f t="shared" si="5"/>
        <v>20.36225</v>
      </c>
      <c r="I200" s="4">
        <v>4</v>
      </c>
      <c r="J200" s="22">
        <f t="shared" si="6"/>
        <v>12.21735</v>
      </c>
      <c r="K200" s="22">
        <f t="shared" si="7"/>
        <v>16.2898</v>
      </c>
      <c r="L200" s="22">
        <f t="shared" si="8"/>
        <v>20.36225</v>
      </c>
      <c r="N200" s="7" t="s">
        <v>70</v>
      </c>
      <c r="O200" s="24" t="s">
        <v>78</v>
      </c>
      <c r="R200" s="4">
        <v>4</v>
      </c>
      <c r="S200" s="22">
        <f t="shared" si="12"/>
        <v>12.21735</v>
      </c>
      <c r="T200" s="22">
        <f t="shared" si="13"/>
        <v>16.2898</v>
      </c>
      <c r="U200" s="22">
        <f t="shared" si="9"/>
        <v>20.36225</v>
      </c>
      <c r="V200" s="22">
        <f t="shared" ca="1" si="10"/>
        <v>201.72754922469949</v>
      </c>
    </row>
    <row r="201" spans="2:24">
      <c r="B201">
        <f t="shared" si="11"/>
        <v>65.571599999999989</v>
      </c>
      <c r="D201" s="4">
        <v>5</v>
      </c>
      <c r="E201" s="22">
        <f t="shared" si="3"/>
        <v>9.8357399999999977</v>
      </c>
      <c r="F201" s="22">
        <f t="shared" si="4"/>
        <v>13.114319999999998</v>
      </c>
      <c r="G201" s="22">
        <f t="shared" si="5"/>
        <v>16.392899999999997</v>
      </c>
      <c r="I201" s="4">
        <v>5</v>
      </c>
      <c r="J201" s="22">
        <f t="shared" si="6"/>
        <v>9.8357399999999977</v>
      </c>
      <c r="K201" s="22">
        <f t="shared" si="7"/>
        <v>13.114319999999998</v>
      </c>
      <c r="L201" s="22">
        <f t="shared" si="8"/>
        <v>16.392899999999997</v>
      </c>
      <c r="N201" s="4">
        <v>1</v>
      </c>
      <c r="O201" s="4" t="e">
        <f>#REF!</f>
        <v>#REF!</v>
      </c>
      <c r="P201" t="s">
        <v>79</v>
      </c>
      <c r="R201" s="4">
        <v>5</v>
      </c>
      <c r="S201" s="22">
        <f t="shared" si="12"/>
        <v>9.8357399999999977</v>
      </c>
      <c r="T201" s="22">
        <f t="shared" si="13"/>
        <v>13.114319999999998</v>
      </c>
      <c r="U201" s="22">
        <f t="shared" si="9"/>
        <v>16.392899999999997</v>
      </c>
      <c r="V201" s="22">
        <f t="shared" ca="1" si="10"/>
        <v>161.38203937975959</v>
      </c>
    </row>
    <row r="202" spans="2:24">
      <c r="B202">
        <f t="shared" si="11"/>
        <v>65.983999999999995</v>
      </c>
      <c r="D202" s="4">
        <v>6</v>
      </c>
      <c r="E202" s="22">
        <f t="shared" si="3"/>
        <v>8.2479999999999993</v>
      </c>
      <c r="F202" s="22">
        <f t="shared" si="4"/>
        <v>10.997333333333332</v>
      </c>
      <c r="G202" s="22">
        <f t="shared" si="5"/>
        <v>13.746666666666664</v>
      </c>
      <c r="I202" s="4">
        <v>6</v>
      </c>
      <c r="J202" s="22">
        <f t="shared" si="6"/>
        <v>8.2479999999999993</v>
      </c>
      <c r="K202" s="22">
        <f t="shared" si="7"/>
        <v>10.997333333333332</v>
      </c>
      <c r="L202" s="22">
        <f t="shared" si="8"/>
        <v>13.746666666666664</v>
      </c>
      <c r="N202" s="4">
        <v>2</v>
      </c>
      <c r="O202" s="22" t="e">
        <f>O205+((O201-O205)*3/7)</f>
        <v>#REF!</v>
      </c>
      <c r="R202" s="4">
        <v>6</v>
      </c>
      <c r="S202" s="22">
        <f t="shared" si="12"/>
        <v>8.2479999999999993</v>
      </c>
      <c r="T202" s="22">
        <f t="shared" si="13"/>
        <v>10.997333333333332</v>
      </c>
      <c r="U202" s="22">
        <f t="shared" si="9"/>
        <v>13.746666666666664</v>
      </c>
      <c r="V202" s="22">
        <f t="shared" ca="1" si="10"/>
        <v>134.48503281646632</v>
      </c>
    </row>
    <row r="203" spans="2:24">
      <c r="B203">
        <f t="shared" si="11"/>
        <v>66.3964</v>
      </c>
      <c r="D203" s="4">
        <v>7</v>
      </c>
      <c r="E203" s="22">
        <f t="shared" si="3"/>
        <v>7.113900000000001</v>
      </c>
      <c r="F203" s="22">
        <f t="shared" si="4"/>
        <v>9.4852000000000007</v>
      </c>
      <c r="G203" s="22">
        <f t="shared" si="5"/>
        <v>11.8565</v>
      </c>
      <c r="I203" s="4">
        <v>7</v>
      </c>
      <c r="J203" s="22">
        <f t="shared" si="6"/>
        <v>7.113900000000001</v>
      </c>
      <c r="K203" s="22">
        <f t="shared" si="7"/>
        <v>9.4852000000000007</v>
      </c>
      <c r="L203" s="22">
        <f t="shared" si="8"/>
        <v>11.8565</v>
      </c>
      <c r="N203" s="4">
        <v>3</v>
      </c>
      <c r="O203" s="22" t="e">
        <f>O205+((O201-O205)*2/8)</f>
        <v>#REF!</v>
      </c>
      <c r="R203" s="4">
        <v>7</v>
      </c>
      <c r="S203" s="22">
        <f t="shared" si="12"/>
        <v>7.113900000000001</v>
      </c>
      <c r="T203" s="22">
        <f t="shared" si="13"/>
        <v>9.4852000000000007</v>
      </c>
      <c r="U203" s="22">
        <f t="shared" si="9"/>
        <v>11.8565</v>
      </c>
      <c r="V203" s="22">
        <f t="shared" ca="1" si="10"/>
        <v>115.27288527125685</v>
      </c>
    </row>
    <row r="204" spans="2:24">
      <c r="B204">
        <f t="shared" si="11"/>
        <v>66.808799999999991</v>
      </c>
      <c r="D204" s="4">
        <v>8</v>
      </c>
      <c r="E204" s="22">
        <f t="shared" si="3"/>
        <v>6.2633249999999991</v>
      </c>
      <c r="F204" s="22">
        <f t="shared" si="4"/>
        <v>8.3510999999999989</v>
      </c>
      <c r="G204" s="22">
        <f t="shared" si="5"/>
        <v>10.438874999999999</v>
      </c>
      <c r="I204" s="4">
        <v>8</v>
      </c>
      <c r="J204" s="22">
        <f t="shared" si="6"/>
        <v>6.2633249999999991</v>
      </c>
      <c r="K204" s="22">
        <f t="shared" si="7"/>
        <v>8.3510999999999989</v>
      </c>
      <c r="L204" s="22">
        <f t="shared" si="8"/>
        <v>10.438874999999999</v>
      </c>
      <c r="N204" s="4">
        <v>4</v>
      </c>
      <c r="O204" s="22" t="e">
        <f>O205+((O201-O205)*1/9)</f>
        <v>#REF!</v>
      </c>
      <c r="R204" s="4">
        <v>8</v>
      </c>
      <c r="S204" s="22">
        <f t="shared" si="12"/>
        <v>6.2633249999999991</v>
      </c>
      <c r="T204" s="22">
        <f t="shared" si="13"/>
        <v>8.3510999999999989</v>
      </c>
      <c r="U204" s="22">
        <f t="shared" si="9"/>
        <v>10.438874999999999</v>
      </c>
      <c r="V204" s="22">
        <f t="shared" ca="1" si="10"/>
        <v>100.86377461234974</v>
      </c>
    </row>
    <row r="205" spans="2:24">
      <c r="B205">
        <f t="shared" si="11"/>
        <v>67.221199999999996</v>
      </c>
      <c r="D205" s="4">
        <v>9</v>
      </c>
      <c r="E205" s="22">
        <f t="shared" si="3"/>
        <v>5.6017666666666663</v>
      </c>
      <c r="F205" s="22">
        <f t="shared" si="4"/>
        <v>7.4690222222222218</v>
      </c>
      <c r="G205" s="22">
        <f t="shared" si="5"/>
        <v>9.3362777777777772</v>
      </c>
      <c r="I205" s="4">
        <v>9</v>
      </c>
      <c r="J205" s="22">
        <f t="shared" si="6"/>
        <v>5.6017666666666663</v>
      </c>
      <c r="K205" s="22">
        <f t="shared" si="7"/>
        <v>7.4690222222222218</v>
      </c>
      <c r="L205" s="22">
        <f t="shared" si="8"/>
        <v>9.3362777777777772</v>
      </c>
      <c r="N205" s="4">
        <v>5</v>
      </c>
      <c r="O205" s="22" t="e">
        <f>#REF!</f>
        <v>#REF!</v>
      </c>
      <c r="P205" t="s">
        <v>80</v>
      </c>
      <c r="R205" s="4">
        <v>9</v>
      </c>
      <c r="S205" s="22">
        <f t="shared" si="12"/>
        <v>5.6017666666666663</v>
      </c>
      <c r="T205" s="22">
        <f t="shared" si="13"/>
        <v>7.4690222222222218</v>
      </c>
      <c r="U205" s="22">
        <f t="shared" si="9"/>
        <v>9.3362777777777772</v>
      </c>
      <c r="V205" s="22">
        <f t="shared" ca="1" si="10"/>
        <v>89.656688544310882</v>
      </c>
    </row>
    <row r="206" spans="2:24">
      <c r="B206">
        <f t="shared" si="11"/>
        <v>67.633599999999987</v>
      </c>
      <c r="D206" s="4">
        <v>10</v>
      </c>
      <c r="E206" s="22">
        <f t="shared" si="3"/>
        <v>5.072519999999999</v>
      </c>
      <c r="F206" s="22">
        <f t="shared" si="4"/>
        <v>6.7633599999999987</v>
      </c>
      <c r="G206" s="22">
        <f t="shared" si="5"/>
        <v>8.4541999999999984</v>
      </c>
      <c r="I206" s="4">
        <v>10</v>
      </c>
      <c r="J206" s="22">
        <f t="shared" si="6"/>
        <v>5.072519999999999</v>
      </c>
      <c r="K206" s="22">
        <f t="shared" si="7"/>
        <v>6.7633599999999987</v>
      </c>
      <c r="L206" s="22">
        <f t="shared" si="8"/>
        <v>8.4541999999999984</v>
      </c>
      <c r="N206" s="4">
        <v>6</v>
      </c>
      <c r="O206" s="22" t="e">
        <f>O$210+((O$205-O$210)*4/6)</f>
        <v>#REF!</v>
      </c>
      <c r="R206" s="4">
        <v>10</v>
      </c>
      <c r="S206" s="22">
        <f t="shared" si="12"/>
        <v>5.072519999999999</v>
      </c>
      <c r="T206" s="22">
        <f t="shared" si="13"/>
        <v>6.7633599999999987</v>
      </c>
      <c r="U206" s="22">
        <f t="shared" si="9"/>
        <v>8.4541999999999984</v>
      </c>
      <c r="V206" s="22">
        <f t="shared" ca="1" si="10"/>
        <v>80.691019689879795</v>
      </c>
    </row>
    <row r="207" spans="2:24">
      <c r="B207">
        <f t="shared" si="11"/>
        <v>68.045999999999992</v>
      </c>
      <c r="D207" s="4">
        <v>11</v>
      </c>
      <c r="E207" s="22">
        <f t="shared" si="3"/>
        <v>4.6394999999999991</v>
      </c>
      <c r="F207" s="22">
        <f t="shared" si="4"/>
        <v>6.1859999999999991</v>
      </c>
      <c r="G207" s="22">
        <f t="shared" si="5"/>
        <v>7.732499999999999</v>
      </c>
      <c r="I207" s="4">
        <v>11</v>
      </c>
      <c r="J207" s="22">
        <f t="shared" si="6"/>
        <v>4.6394999999999991</v>
      </c>
      <c r="K207" s="22">
        <f t="shared" si="7"/>
        <v>6.1859999999999991</v>
      </c>
      <c r="L207" s="22">
        <f t="shared" si="8"/>
        <v>7.732499999999999</v>
      </c>
      <c r="N207" s="4">
        <v>7</v>
      </c>
      <c r="O207" s="22" t="e">
        <f>O$210+((O$205-O$210)*3/7)</f>
        <v>#REF!</v>
      </c>
      <c r="R207" s="4">
        <v>11</v>
      </c>
      <c r="S207" s="22">
        <f t="shared" si="12"/>
        <v>4.6394999999999991</v>
      </c>
      <c r="T207" s="22">
        <f t="shared" si="13"/>
        <v>6.1859999999999991</v>
      </c>
      <c r="U207" s="22">
        <f t="shared" si="9"/>
        <v>7.732499999999999</v>
      </c>
      <c r="V207" s="22">
        <f t="shared" ca="1" si="10"/>
        <v>73.355472445345271</v>
      </c>
    </row>
    <row r="208" spans="2:24">
      <c r="B208">
        <f t="shared" si="11"/>
        <v>68.458399999999997</v>
      </c>
      <c r="D208" s="4">
        <v>12</v>
      </c>
      <c r="E208" s="22">
        <f t="shared" si="3"/>
        <v>4.2786499999999998</v>
      </c>
      <c r="F208" s="22">
        <f t="shared" si="4"/>
        <v>5.7048666666666668</v>
      </c>
      <c r="G208" s="22">
        <f t="shared" si="5"/>
        <v>7.1310833333333337</v>
      </c>
      <c r="I208" s="4">
        <v>12</v>
      </c>
      <c r="J208" s="22">
        <f t="shared" si="6"/>
        <v>4.2786499999999998</v>
      </c>
      <c r="K208" s="22">
        <f t="shared" si="7"/>
        <v>5.7048666666666668</v>
      </c>
      <c r="L208" s="22">
        <f t="shared" si="8"/>
        <v>7.1310833333333337</v>
      </c>
      <c r="N208" s="4">
        <v>8</v>
      </c>
      <c r="O208" s="22" t="e">
        <f>O$210+((O$205-O$210)*2/8)</f>
        <v>#REF!</v>
      </c>
      <c r="R208" s="4">
        <v>12</v>
      </c>
      <c r="S208" s="22">
        <f t="shared" si="12"/>
        <v>4.2786499999999998</v>
      </c>
      <c r="T208" s="22">
        <f t="shared" si="13"/>
        <v>5.7048666666666668</v>
      </c>
      <c r="U208" s="22">
        <f t="shared" si="9"/>
        <v>7.1310833333333337</v>
      </c>
      <c r="V208" s="22">
        <f t="shared" ca="1" si="10"/>
        <v>67.242516408233158</v>
      </c>
    </row>
    <row r="209" spans="2:22">
      <c r="B209">
        <f t="shared" si="11"/>
        <v>68.870799999999988</v>
      </c>
      <c r="D209" s="4">
        <v>13</v>
      </c>
      <c r="E209" s="22">
        <f t="shared" si="3"/>
        <v>3.9733153846153835</v>
      </c>
      <c r="F209" s="22">
        <f t="shared" si="4"/>
        <v>5.2977538461538449</v>
      </c>
      <c r="G209" s="22">
        <f t="shared" si="5"/>
        <v>6.6221923076923064</v>
      </c>
      <c r="I209" s="4">
        <v>13</v>
      </c>
      <c r="J209" s="22">
        <f t="shared" si="6"/>
        <v>3.9733153846153835</v>
      </c>
      <c r="K209" s="22">
        <f t="shared" si="7"/>
        <v>5.2977538461538449</v>
      </c>
      <c r="L209" s="22">
        <f t="shared" si="8"/>
        <v>6.6221923076923064</v>
      </c>
      <c r="N209" s="4">
        <v>9</v>
      </c>
      <c r="O209" s="22" t="e">
        <f>O$210+((O$205-O$210)*1/9)</f>
        <v>#REF!</v>
      </c>
      <c r="R209" s="4">
        <v>13</v>
      </c>
      <c r="S209" s="22">
        <f t="shared" si="12"/>
        <v>3.9733153846153835</v>
      </c>
      <c r="T209" s="22">
        <f t="shared" si="13"/>
        <v>5.2977538461538449</v>
      </c>
      <c r="U209" s="22">
        <f t="shared" si="9"/>
        <v>6.6221923076923064</v>
      </c>
      <c r="V209" s="22">
        <f t="shared" ca="1" si="10"/>
        <v>62.07001514606138</v>
      </c>
    </row>
    <row r="210" spans="2:22">
      <c r="B210">
        <f t="shared" si="11"/>
        <v>69.283199999999994</v>
      </c>
      <c r="D210" s="4">
        <v>14</v>
      </c>
      <c r="E210" s="22">
        <f t="shared" si="3"/>
        <v>3.7115999999999998</v>
      </c>
      <c r="F210" s="22">
        <f t="shared" si="4"/>
        <v>4.9487999999999994</v>
      </c>
      <c r="G210" s="22">
        <f t="shared" si="5"/>
        <v>6.1859999999999991</v>
      </c>
      <c r="I210" s="4">
        <v>14</v>
      </c>
      <c r="J210" s="22">
        <f t="shared" si="6"/>
        <v>3.7115999999999998</v>
      </c>
      <c r="K210" s="22">
        <f t="shared" si="7"/>
        <v>4.9487999999999994</v>
      </c>
      <c r="L210" s="22">
        <f t="shared" si="8"/>
        <v>6.1859999999999991</v>
      </c>
      <c r="N210" s="4">
        <v>10</v>
      </c>
      <c r="O210" s="22" t="e">
        <f>#REF!</f>
        <v>#REF!</v>
      </c>
      <c r="P210" t="s">
        <v>80</v>
      </c>
      <c r="R210" s="4">
        <v>14</v>
      </c>
      <c r="S210" s="22">
        <f t="shared" si="12"/>
        <v>3.7115999999999998</v>
      </c>
      <c r="T210" s="22">
        <f t="shared" si="13"/>
        <v>4.9487999999999994</v>
      </c>
      <c r="U210" s="22">
        <f t="shared" si="9"/>
        <v>6.1859999999999991</v>
      </c>
      <c r="V210" s="22">
        <f t="shared" ca="1" si="10"/>
        <v>57.636442635628427</v>
      </c>
    </row>
    <row r="211" spans="2:22">
      <c r="B211">
        <f t="shared" si="11"/>
        <v>69.695599999999999</v>
      </c>
      <c r="D211" s="4">
        <v>15</v>
      </c>
      <c r="E211" s="22">
        <f t="shared" si="3"/>
        <v>3.4847799999999998</v>
      </c>
      <c r="F211" s="22">
        <f t="shared" si="4"/>
        <v>4.646373333333333</v>
      </c>
      <c r="G211" s="22">
        <f t="shared" si="5"/>
        <v>5.8079666666666663</v>
      </c>
      <c r="I211" s="4">
        <v>15</v>
      </c>
      <c r="J211" s="22">
        <f t="shared" si="6"/>
        <v>3.4847799999999998</v>
      </c>
      <c r="K211" s="22">
        <f t="shared" si="7"/>
        <v>4.646373333333333</v>
      </c>
      <c r="L211" s="22">
        <f t="shared" si="8"/>
        <v>5.8079666666666663</v>
      </c>
      <c r="N211" s="4">
        <v>11</v>
      </c>
      <c r="O211" s="22" t="e">
        <f>O$215+((O$210-O$215)*4/6)</f>
        <v>#REF!</v>
      </c>
      <c r="R211" s="4">
        <v>15</v>
      </c>
      <c r="S211" s="22">
        <f t="shared" si="12"/>
        <v>3.4847799999999998</v>
      </c>
      <c r="T211" s="22">
        <f t="shared" si="13"/>
        <v>4.646373333333333</v>
      </c>
      <c r="U211" s="22">
        <f t="shared" si="9"/>
        <v>5.8079666666666663</v>
      </c>
      <c r="V211" s="22">
        <f t="shared" ca="1" si="10"/>
        <v>53.794013126586528</v>
      </c>
    </row>
    <row r="212" spans="2:22">
      <c r="B212">
        <f t="shared" si="11"/>
        <v>70.10799999999999</v>
      </c>
      <c r="D212" s="4">
        <v>16</v>
      </c>
      <c r="E212" s="22">
        <f t="shared" si="3"/>
        <v>3.2863124999999993</v>
      </c>
      <c r="F212" s="22">
        <f t="shared" si="4"/>
        <v>4.3817499999999994</v>
      </c>
      <c r="G212" s="22">
        <f t="shared" si="5"/>
        <v>5.4771874999999994</v>
      </c>
      <c r="I212" s="4">
        <v>16</v>
      </c>
      <c r="J212" s="22">
        <f t="shared" si="6"/>
        <v>3.2863124999999993</v>
      </c>
      <c r="K212" s="22">
        <f t="shared" si="7"/>
        <v>4.3817499999999994</v>
      </c>
      <c r="L212" s="22">
        <f t="shared" si="8"/>
        <v>5.4771874999999994</v>
      </c>
      <c r="N212" s="4">
        <v>12</v>
      </c>
      <c r="O212" s="22" t="e">
        <f>O$215+((O$210-O$215)*3/7)</f>
        <v>#REF!</v>
      </c>
      <c r="R212" s="4">
        <v>16</v>
      </c>
      <c r="S212" s="22">
        <f t="shared" si="12"/>
        <v>3.2863124999999993</v>
      </c>
      <c r="T212" s="22">
        <f t="shared" si="13"/>
        <v>4.3817499999999994</v>
      </c>
      <c r="U212" s="22">
        <f t="shared" si="9"/>
        <v>5.4771874999999994</v>
      </c>
      <c r="V212" s="22">
        <f t="shared" ca="1" si="10"/>
        <v>50.431887306174872</v>
      </c>
    </row>
    <row r="213" spans="2:22">
      <c r="B213">
        <f t="shared" si="11"/>
        <v>70.520399999999995</v>
      </c>
      <c r="D213" s="4">
        <v>17</v>
      </c>
      <c r="E213" s="22">
        <f t="shared" si="3"/>
        <v>3.1111941176470586</v>
      </c>
      <c r="F213" s="22">
        <f t="shared" si="4"/>
        <v>4.1482588235294111</v>
      </c>
      <c r="G213" s="22">
        <f t="shared" si="5"/>
        <v>5.1853235294117637</v>
      </c>
      <c r="I213" s="4">
        <v>17</v>
      </c>
      <c r="J213" s="22">
        <f t="shared" si="6"/>
        <v>3.1111941176470586</v>
      </c>
      <c r="K213" s="22">
        <f t="shared" si="7"/>
        <v>4.1482588235294111</v>
      </c>
      <c r="L213" s="22">
        <f t="shared" si="8"/>
        <v>5.1853235294117637</v>
      </c>
      <c r="N213" s="4">
        <v>13</v>
      </c>
      <c r="O213" s="22" t="e">
        <f>O$215+((O$210-O$215)*2/8)</f>
        <v>#REF!</v>
      </c>
      <c r="R213" s="4">
        <v>17</v>
      </c>
      <c r="S213" s="22">
        <f t="shared" si="12"/>
        <v>3.1111941176470586</v>
      </c>
      <c r="T213" s="22">
        <f t="shared" si="13"/>
        <v>4.1482588235294111</v>
      </c>
      <c r="U213" s="22">
        <f t="shared" si="9"/>
        <v>5.1853235294117637</v>
      </c>
      <c r="V213" s="22">
        <f t="shared" ca="1" si="10"/>
        <v>47.465305699929289</v>
      </c>
    </row>
    <row r="214" spans="2:22">
      <c r="B214">
        <f t="shared" si="11"/>
        <v>70.932799999999986</v>
      </c>
      <c r="D214" s="4">
        <v>18</v>
      </c>
      <c r="E214" s="22">
        <f t="shared" ref="E214:E276" si="14">(1-$F$284)*F214</f>
        <v>2.9555333333333329</v>
      </c>
      <c r="F214" s="22">
        <f t="shared" si="4"/>
        <v>3.9407111111111104</v>
      </c>
      <c r="G214" s="22">
        <f t="shared" ref="G214:G276" si="15">F214*(1+$F$284)</f>
        <v>4.9258888888888883</v>
      </c>
      <c r="I214" s="4">
        <v>18</v>
      </c>
      <c r="J214" s="22">
        <f t="shared" ref="J214:J276" si="16">IF(E214&gt;$F$183,$F$183,E214)</f>
        <v>2.9555333333333329</v>
      </c>
      <c r="K214" s="22">
        <f t="shared" ref="K214:K276" si="17">IF(F214&gt;$F$184,$F$184,F214)</f>
        <v>3.9407111111111104</v>
      </c>
      <c r="L214" s="22">
        <f t="shared" ref="L214:L276" si="18">IF(G214&gt;$F$185,$F$185,G214)</f>
        <v>4.9258888888888883</v>
      </c>
      <c r="N214" s="4">
        <v>14</v>
      </c>
      <c r="O214" s="22" t="e">
        <f>O$215+((O$210-O$215)*1/9)</f>
        <v>#REF!</v>
      </c>
      <c r="R214" s="4">
        <v>18</v>
      </c>
      <c r="S214" s="22">
        <f t="shared" ref="S214:S216" si="19">IF($R214&gt;$F$181,0.0000000005,J214)</f>
        <v>2.9555333333333329</v>
      </c>
      <c r="T214" s="22">
        <f t="shared" ref="T214:T216" si="20">IF($R214&gt;$F$181,0.0000000005,K214)</f>
        <v>3.9407111111111104</v>
      </c>
      <c r="U214" s="22">
        <f t="shared" ref="U214:U216" si="21">IF($R214&gt;$F$181,0.0000000005,L214)</f>
        <v>4.9258888888888883</v>
      </c>
      <c r="V214" s="22">
        <f t="shared" ref="V214:V216" ca="1" si="22">$X$197/R214</f>
        <v>44.828344272155441</v>
      </c>
    </row>
    <row r="215" spans="2:22">
      <c r="B215">
        <f t="shared" si="11"/>
        <v>71.345199999999991</v>
      </c>
      <c r="D215" s="4">
        <v>19</v>
      </c>
      <c r="E215" s="22">
        <f t="shared" si="14"/>
        <v>2.8162578947368417</v>
      </c>
      <c r="F215" s="22">
        <f t="shared" si="4"/>
        <v>3.7550105263157891</v>
      </c>
      <c r="G215" s="22">
        <f t="shared" si="15"/>
        <v>4.6937631578947361</v>
      </c>
      <c r="I215" s="4">
        <v>19</v>
      </c>
      <c r="J215" s="22">
        <f t="shared" si="16"/>
        <v>2.8162578947368417</v>
      </c>
      <c r="K215" s="22">
        <f t="shared" si="17"/>
        <v>3.7550105263157891</v>
      </c>
      <c r="L215" s="22">
        <f t="shared" si="18"/>
        <v>4.6937631578947361</v>
      </c>
      <c r="N215" s="4">
        <v>15</v>
      </c>
      <c r="O215" s="22" t="e">
        <f>#REF!</f>
        <v>#REF!</v>
      </c>
      <c r="P215" t="s">
        <v>80</v>
      </c>
      <c r="R215" s="4">
        <v>19</v>
      </c>
      <c r="S215" s="22">
        <f t="shared" si="19"/>
        <v>2.8162578947368417</v>
      </c>
      <c r="T215" s="22">
        <f t="shared" si="20"/>
        <v>3.7550105263157891</v>
      </c>
      <c r="U215" s="22">
        <f t="shared" si="21"/>
        <v>4.6937631578947361</v>
      </c>
      <c r="V215" s="22">
        <f t="shared" ca="1" si="22"/>
        <v>42.46895773151568</v>
      </c>
    </row>
    <row r="216" spans="2:22">
      <c r="B216">
        <f t="shared" si="11"/>
        <v>71.757599999999996</v>
      </c>
      <c r="D216" s="4">
        <v>20</v>
      </c>
      <c r="E216" s="22">
        <f t="shared" si="14"/>
        <v>2.6909099999999997</v>
      </c>
      <c r="F216" s="22">
        <f t="shared" si="4"/>
        <v>3.5878799999999997</v>
      </c>
      <c r="G216" s="22">
        <f t="shared" si="15"/>
        <v>4.4848499999999998</v>
      </c>
      <c r="I216" s="4">
        <v>20</v>
      </c>
      <c r="J216" s="22">
        <f t="shared" si="16"/>
        <v>2.6909099999999997</v>
      </c>
      <c r="K216" s="22">
        <f t="shared" si="17"/>
        <v>3.5878799999999997</v>
      </c>
      <c r="L216" s="22">
        <f t="shared" si="18"/>
        <v>4.4848499999999998</v>
      </c>
      <c r="N216" s="4">
        <v>16</v>
      </c>
      <c r="O216" s="22" t="e">
        <f>O$220+((O$215-O$220)*4/6)</f>
        <v>#REF!</v>
      </c>
      <c r="R216" s="4">
        <v>20</v>
      </c>
      <c r="S216" s="22">
        <f t="shared" si="19"/>
        <v>2.6909099999999997</v>
      </c>
      <c r="T216" s="22">
        <f t="shared" si="20"/>
        <v>3.5878799999999997</v>
      </c>
      <c r="U216" s="22">
        <f t="shared" si="21"/>
        <v>4.4848499999999998</v>
      </c>
      <c r="V216" s="22">
        <f t="shared" ca="1" si="22"/>
        <v>40.345509844939897</v>
      </c>
    </row>
    <row r="217" spans="2:22">
      <c r="B217">
        <f t="shared" si="11"/>
        <v>72.169999999999987</v>
      </c>
      <c r="D217" s="4">
        <v>21</v>
      </c>
      <c r="E217" s="22">
        <f t="shared" si="14"/>
        <v>2.5774999999999997</v>
      </c>
      <c r="F217" s="22">
        <f t="shared" si="4"/>
        <v>3.4366666666666661</v>
      </c>
      <c r="G217" s="22">
        <f t="shared" si="15"/>
        <v>4.2958333333333325</v>
      </c>
      <c r="I217" s="4">
        <v>21</v>
      </c>
      <c r="J217" s="22">
        <f t="shared" si="16"/>
        <v>2.5774999999999997</v>
      </c>
      <c r="K217" s="22">
        <f t="shared" si="17"/>
        <v>3.4366666666666661</v>
      </c>
      <c r="L217" s="22">
        <f t="shared" si="18"/>
        <v>4.2958333333333325</v>
      </c>
      <c r="N217" s="4">
        <v>17</v>
      </c>
      <c r="O217" s="22" t="e">
        <f>O$220+((O$215-O$220)*3/7)</f>
        <v>#REF!</v>
      </c>
      <c r="R217" s="4">
        <v>21</v>
      </c>
      <c r="S217" s="22">
        <f t="shared" ref="S217:S232" si="23">IF($R217&gt;$F$181,0.0000000005,J217)</f>
        <v>2.5774999999999997</v>
      </c>
      <c r="T217" s="22">
        <f t="shared" ref="T217:T232" si="24">IF($R217&gt;$F$181,0.0000000005,K217)</f>
        <v>3.4366666666666661</v>
      </c>
      <c r="U217" s="22">
        <f t="shared" ref="U217:U232" si="25">IF($R217&gt;$F$181,0.0000000005,L217)</f>
        <v>4.2958333333333325</v>
      </c>
      <c r="V217" s="22">
        <f t="shared" ref="V217:V253" ca="1" si="26">$X$197/R217</f>
        <v>38.424295090418951</v>
      </c>
    </row>
    <row r="218" spans="2:22">
      <c r="B218">
        <f t="shared" si="11"/>
        <v>72.582399999999993</v>
      </c>
      <c r="D218" s="4">
        <v>22</v>
      </c>
      <c r="E218" s="22">
        <f t="shared" si="14"/>
        <v>2.4743999999999997</v>
      </c>
      <c r="F218" s="22">
        <f t="shared" si="4"/>
        <v>3.2991999999999995</v>
      </c>
      <c r="G218" s="22">
        <f t="shared" si="15"/>
        <v>4.1239999999999997</v>
      </c>
      <c r="I218" s="4">
        <v>22</v>
      </c>
      <c r="J218" s="22">
        <f t="shared" si="16"/>
        <v>2.4743999999999997</v>
      </c>
      <c r="K218" s="22">
        <f t="shared" si="17"/>
        <v>3.2991999999999995</v>
      </c>
      <c r="L218" s="22">
        <f t="shared" si="18"/>
        <v>4.1239999999999997</v>
      </c>
      <c r="N218" s="4">
        <v>18</v>
      </c>
      <c r="O218" s="22" t="e">
        <f>O$220+((O$215-O$220)*2/8)</f>
        <v>#REF!</v>
      </c>
      <c r="R218" s="4">
        <v>22</v>
      </c>
      <c r="S218" s="22">
        <f t="shared" si="23"/>
        <v>2.4743999999999997</v>
      </c>
      <c r="T218" s="22">
        <f t="shared" si="24"/>
        <v>3.2991999999999995</v>
      </c>
      <c r="U218" s="22">
        <f t="shared" si="25"/>
        <v>4.1239999999999997</v>
      </c>
      <c r="V218" s="22">
        <f t="shared" ca="1" si="26"/>
        <v>36.677736222672635</v>
      </c>
    </row>
    <row r="219" spans="2:22">
      <c r="B219">
        <f t="shared" si="11"/>
        <v>72.994799999999998</v>
      </c>
      <c r="D219" s="4">
        <v>23</v>
      </c>
      <c r="E219" s="22">
        <f t="shared" si="14"/>
        <v>2.3802652173913046</v>
      </c>
      <c r="F219" s="22">
        <f t="shared" si="4"/>
        <v>3.1736869565217392</v>
      </c>
      <c r="G219" s="22">
        <f t="shared" si="15"/>
        <v>3.9671086956521737</v>
      </c>
      <c r="I219" s="4">
        <v>23</v>
      </c>
      <c r="J219" s="22">
        <f t="shared" si="16"/>
        <v>2.3802652173913046</v>
      </c>
      <c r="K219" s="22">
        <f t="shared" si="17"/>
        <v>3.1736869565217392</v>
      </c>
      <c r="L219" s="22">
        <f t="shared" si="18"/>
        <v>3.9671086956521737</v>
      </c>
      <c r="N219" s="4">
        <v>19</v>
      </c>
      <c r="O219" s="22" t="e">
        <f>O$220+((O$215-O$220)*1/9)</f>
        <v>#REF!</v>
      </c>
      <c r="R219" s="4">
        <v>23</v>
      </c>
      <c r="S219" s="22">
        <f t="shared" si="23"/>
        <v>5.0000000000000003E-10</v>
      </c>
      <c r="T219" s="22">
        <f t="shared" si="24"/>
        <v>5.0000000000000003E-10</v>
      </c>
      <c r="U219" s="22">
        <f t="shared" si="25"/>
        <v>5.0000000000000003E-10</v>
      </c>
      <c r="V219" s="22">
        <f t="shared" ca="1" si="26"/>
        <v>35.083052039078169</v>
      </c>
    </row>
    <row r="220" spans="2:22">
      <c r="B220">
        <f t="shared" si="11"/>
        <v>73.407199999999989</v>
      </c>
      <c r="D220" s="4">
        <v>24</v>
      </c>
      <c r="E220" s="22">
        <f t="shared" si="14"/>
        <v>2.2939749999999997</v>
      </c>
      <c r="F220" s="22">
        <f t="shared" si="4"/>
        <v>3.0586333333333329</v>
      </c>
      <c r="G220" s="22">
        <f t="shared" si="15"/>
        <v>3.8232916666666661</v>
      </c>
      <c r="I220" s="4">
        <v>24</v>
      </c>
      <c r="J220" s="22">
        <f t="shared" si="16"/>
        <v>2.2939749999999997</v>
      </c>
      <c r="K220" s="22">
        <f t="shared" si="17"/>
        <v>3.0586333333333329</v>
      </c>
      <c r="L220" s="22">
        <f t="shared" si="18"/>
        <v>3.8232916666666661</v>
      </c>
      <c r="N220" s="4">
        <v>20</v>
      </c>
      <c r="O220" s="22" t="e">
        <f>#REF!</f>
        <v>#REF!</v>
      </c>
      <c r="P220" t="s">
        <v>80</v>
      </c>
      <c r="R220" s="4">
        <v>24</v>
      </c>
      <c r="S220" s="22">
        <f t="shared" si="23"/>
        <v>5.0000000000000003E-10</v>
      </c>
      <c r="T220" s="22">
        <f t="shared" si="24"/>
        <v>5.0000000000000003E-10</v>
      </c>
      <c r="U220" s="22">
        <f t="shared" si="25"/>
        <v>5.0000000000000003E-10</v>
      </c>
      <c r="V220" s="22">
        <f t="shared" ca="1" si="26"/>
        <v>33.621258204116579</v>
      </c>
    </row>
    <row r="221" spans="2:22">
      <c r="B221">
        <f t="shared" si="11"/>
        <v>73.819599999999994</v>
      </c>
      <c r="D221" s="4">
        <v>25</v>
      </c>
      <c r="E221" s="22">
        <f t="shared" si="14"/>
        <v>2.214588</v>
      </c>
      <c r="F221" s="22">
        <f t="shared" si="4"/>
        <v>2.9527839999999999</v>
      </c>
      <c r="G221" s="22">
        <f t="shared" si="15"/>
        <v>3.6909799999999997</v>
      </c>
      <c r="I221" s="4">
        <v>25</v>
      </c>
      <c r="J221" s="22">
        <f t="shared" si="16"/>
        <v>2.214588</v>
      </c>
      <c r="K221" s="22">
        <f t="shared" si="17"/>
        <v>2.9527839999999999</v>
      </c>
      <c r="L221" s="22">
        <f t="shared" si="18"/>
        <v>3.6909799999999997</v>
      </c>
      <c r="R221" s="4">
        <v>25</v>
      </c>
      <c r="S221" s="22">
        <f t="shared" si="23"/>
        <v>5.0000000000000003E-10</v>
      </c>
      <c r="T221" s="22">
        <f t="shared" si="24"/>
        <v>5.0000000000000003E-10</v>
      </c>
      <c r="U221" s="22">
        <f t="shared" si="25"/>
        <v>5.0000000000000003E-10</v>
      </c>
      <c r="V221" s="22">
        <f t="shared" ca="1" si="26"/>
        <v>32.276407875951918</v>
      </c>
    </row>
    <row r="222" spans="2:22">
      <c r="B222">
        <f t="shared" si="11"/>
        <v>74.231999999999999</v>
      </c>
      <c r="D222" s="4">
        <v>26</v>
      </c>
      <c r="E222" s="22">
        <f t="shared" si="14"/>
        <v>2.1413076923076924</v>
      </c>
      <c r="F222" s="22">
        <f t="shared" si="4"/>
        <v>2.8550769230769228</v>
      </c>
      <c r="G222" s="22">
        <f t="shared" si="15"/>
        <v>3.5688461538461533</v>
      </c>
      <c r="I222" s="4">
        <v>26</v>
      </c>
      <c r="J222" s="22">
        <f t="shared" si="16"/>
        <v>2.1413076923076924</v>
      </c>
      <c r="K222" s="22">
        <f t="shared" si="17"/>
        <v>2.8550769230769228</v>
      </c>
      <c r="L222" s="22">
        <f t="shared" si="18"/>
        <v>3.5688461538461533</v>
      </c>
      <c r="R222" s="4">
        <v>26</v>
      </c>
      <c r="S222" s="22">
        <f t="shared" si="23"/>
        <v>5.0000000000000003E-10</v>
      </c>
      <c r="T222" s="22">
        <f t="shared" si="24"/>
        <v>5.0000000000000003E-10</v>
      </c>
      <c r="U222" s="22">
        <f t="shared" si="25"/>
        <v>5.0000000000000003E-10</v>
      </c>
      <c r="V222" s="22">
        <f t="shared" ca="1" si="26"/>
        <v>31.03500757303069</v>
      </c>
    </row>
    <row r="223" spans="2:22">
      <c r="B223">
        <f t="shared" si="11"/>
        <v>74.64439999999999</v>
      </c>
      <c r="D223" s="4">
        <v>27</v>
      </c>
      <c r="E223" s="22">
        <f t="shared" si="14"/>
        <v>2.0734555555555554</v>
      </c>
      <c r="F223" s="22">
        <f t="shared" si="4"/>
        <v>2.7646074074074072</v>
      </c>
      <c r="G223" s="22">
        <f t="shared" si="15"/>
        <v>3.455759259259259</v>
      </c>
      <c r="I223" s="4">
        <v>27</v>
      </c>
      <c r="J223" s="22">
        <f t="shared" si="16"/>
        <v>2.0734555555555554</v>
      </c>
      <c r="K223" s="22">
        <f t="shared" si="17"/>
        <v>2.7646074074074072</v>
      </c>
      <c r="L223" s="22">
        <f t="shared" si="18"/>
        <v>3.455759259259259</v>
      </c>
      <c r="R223" s="4">
        <v>27</v>
      </c>
      <c r="S223" s="22">
        <f t="shared" si="23"/>
        <v>5.0000000000000003E-10</v>
      </c>
      <c r="T223" s="22">
        <f t="shared" si="24"/>
        <v>5.0000000000000003E-10</v>
      </c>
      <c r="U223" s="22">
        <f t="shared" si="25"/>
        <v>5.0000000000000003E-10</v>
      </c>
      <c r="V223" s="22">
        <f t="shared" ca="1" si="26"/>
        <v>29.885562848103628</v>
      </c>
    </row>
    <row r="224" spans="2:22">
      <c r="B224">
        <f t="shared" si="11"/>
        <v>75.056799999999996</v>
      </c>
      <c r="D224" s="4">
        <v>28</v>
      </c>
      <c r="E224" s="22">
        <f t="shared" si="14"/>
        <v>2.0104499999999996</v>
      </c>
      <c r="F224" s="22">
        <f t="shared" si="4"/>
        <v>2.6805999999999996</v>
      </c>
      <c r="G224" s="22">
        <f t="shared" si="15"/>
        <v>3.3507499999999997</v>
      </c>
      <c r="I224" s="4">
        <v>28</v>
      </c>
      <c r="J224" s="22">
        <f t="shared" si="16"/>
        <v>2.0104499999999996</v>
      </c>
      <c r="K224" s="22">
        <f t="shared" si="17"/>
        <v>2.6805999999999996</v>
      </c>
      <c r="L224" s="22">
        <f t="shared" si="18"/>
        <v>3.3507499999999997</v>
      </c>
      <c r="R224" s="4">
        <v>28</v>
      </c>
      <c r="S224" s="22">
        <f t="shared" si="23"/>
        <v>5.0000000000000003E-10</v>
      </c>
      <c r="T224" s="22">
        <f t="shared" si="24"/>
        <v>5.0000000000000003E-10</v>
      </c>
      <c r="U224" s="22">
        <f t="shared" si="25"/>
        <v>5.0000000000000003E-10</v>
      </c>
      <c r="V224" s="22">
        <f t="shared" ca="1" si="26"/>
        <v>28.818221317814213</v>
      </c>
    </row>
    <row r="225" spans="2:22">
      <c r="B225">
        <f t="shared" si="11"/>
        <v>75.469199999999987</v>
      </c>
      <c r="D225" s="4">
        <v>29</v>
      </c>
      <c r="E225" s="22">
        <f t="shared" si="14"/>
        <v>1.9517896551724134</v>
      </c>
      <c r="F225" s="22">
        <f t="shared" si="4"/>
        <v>2.6023862068965511</v>
      </c>
      <c r="G225" s="22">
        <f t="shared" si="15"/>
        <v>3.2529827586206888</v>
      </c>
      <c r="I225" s="4">
        <v>29</v>
      </c>
      <c r="J225" s="22">
        <f t="shared" si="16"/>
        <v>1.9517896551724134</v>
      </c>
      <c r="K225" s="22">
        <f t="shared" si="17"/>
        <v>2.6023862068965511</v>
      </c>
      <c r="L225" s="22">
        <f t="shared" si="18"/>
        <v>3.2529827586206888</v>
      </c>
      <c r="R225" s="4">
        <v>29</v>
      </c>
      <c r="S225" s="22">
        <f t="shared" si="23"/>
        <v>5.0000000000000003E-10</v>
      </c>
      <c r="T225" s="22">
        <f t="shared" si="24"/>
        <v>5.0000000000000003E-10</v>
      </c>
      <c r="U225" s="22">
        <f t="shared" si="25"/>
        <v>5.0000000000000003E-10</v>
      </c>
      <c r="V225" s="22">
        <f t="shared" ca="1" si="26"/>
        <v>27.824489548234411</v>
      </c>
    </row>
    <row r="226" spans="2:22">
      <c r="B226">
        <f t="shared" si="11"/>
        <v>75.881599999999992</v>
      </c>
      <c r="D226" s="4">
        <v>30</v>
      </c>
      <c r="E226" s="22">
        <f t="shared" si="14"/>
        <v>1.8970399999999998</v>
      </c>
      <c r="F226" s="22">
        <f t="shared" si="4"/>
        <v>2.5293866666666664</v>
      </c>
      <c r="G226" s="22">
        <f t="shared" si="15"/>
        <v>3.1617333333333333</v>
      </c>
      <c r="I226" s="4">
        <v>30</v>
      </c>
      <c r="J226" s="22">
        <f t="shared" si="16"/>
        <v>1.8970399999999998</v>
      </c>
      <c r="K226" s="22">
        <f t="shared" si="17"/>
        <v>2.5293866666666664</v>
      </c>
      <c r="L226" s="22">
        <f t="shared" si="18"/>
        <v>3.1617333333333333</v>
      </c>
      <c r="R226" s="4">
        <v>30</v>
      </c>
      <c r="S226" s="22">
        <f t="shared" si="23"/>
        <v>5.0000000000000003E-10</v>
      </c>
      <c r="T226" s="22">
        <f t="shared" si="24"/>
        <v>5.0000000000000003E-10</v>
      </c>
      <c r="U226" s="22">
        <f t="shared" si="25"/>
        <v>5.0000000000000003E-10</v>
      </c>
      <c r="V226" s="22">
        <f t="shared" ca="1" si="26"/>
        <v>26.897006563293264</v>
      </c>
    </row>
    <row r="227" spans="2:22">
      <c r="B227">
        <f t="shared" si="11"/>
        <v>76.293999999999997</v>
      </c>
      <c r="D227" s="4">
        <v>31</v>
      </c>
      <c r="E227" s="22">
        <f t="shared" si="14"/>
        <v>1.8458225806451614</v>
      </c>
      <c r="F227" s="22">
        <f t="shared" si="4"/>
        <v>2.4610967741935483</v>
      </c>
      <c r="G227" s="22">
        <f t="shared" si="15"/>
        <v>3.0763709677419353</v>
      </c>
      <c r="I227" s="4">
        <v>31</v>
      </c>
      <c r="J227" s="22">
        <f t="shared" si="16"/>
        <v>1.8458225806451614</v>
      </c>
      <c r="K227" s="22">
        <f t="shared" si="17"/>
        <v>2.4610967741935483</v>
      </c>
      <c r="L227" s="22">
        <f t="shared" si="18"/>
        <v>3.0763709677419353</v>
      </c>
      <c r="R227" s="4">
        <v>31</v>
      </c>
      <c r="S227" s="22">
        <f t="shared" si="23"/>
        <v>5.0000000000000003E-10</v>
      </c>
      <c r="T227" s="22">
        <f t="shared" si="24"/>
        <v>5.0000000000000003E-10</v>
      </c>
      <c r="U227" s="22">
        <f t="shared" si="25"/>
        <v>5.0000000000000003E-10</v>
      </c>
      <c r="V227" s="22">
        <f t="shared" ca="1" si="26"/>
        <v>26.029361190283804</v>
      </c>
    </row>
    <row r="228" spans="2:22">
      <c r="B228">
        <f t="shared" si="11"/>
        <v>76.706399999999988</v>
      </c>
      <c r="D228" s="4">
        <v>32</v>
      </c>
      <c r="E228" s="22">
        <f t="shared" si="14"/>
        <v>1.7978062499999998</v>
      </c>
      <c r="F228" s="22">
        <f t="shared" si="4"/>
        <v>2.3970749999999996</v>
      </c>
      <c r="G228" s="22">
        <f t="shared" si="15"/>
        <v>2.9963437499999994</v>
      </c>
      <c r="I228" s="4">
        <v>32</v>
      </c>
      <c r="J228" s="22">
        <f t="shared" si="16"/>
        <v>1.7978062499999998</v>
      </c>
      <c r="K228" s="22">
        <f t="shared" si="17"/>
        <v>2.3970749999999996</v>
      </c>
      <c r="L228" s="22">
        <f t="shared" si="18"/>
        <v>2.9963437499999994</v>
      </c>
      <c r="R228" s="4">
        <v>32</v>
      </c>
      <c r="S228" s="22">
        <f t="shared" si="23"/>
        <v>5.0000000000000003E-10</v>
      </c>
      <c r="T228" s="22">
        <f t="shared" si="24"/>
        <v>5.0000000000000003E-10</v>
      </c>
      <c r="U228" s="22">
        <f t="shared" si="25"/>
        <v>5.0000000000000003E-10</v>
      </c>
      <c r="V228" s="22">
        <f t="shared" ca="1" si="26"/>
        <v>25.215943653087436</v>
      </c>
    </row>
    <row r="229" spans="2:22">
      <c r="B229">
        <f t="shared" si="11"/>
        <v>77.118799999999993</v>
      </c>
      <c r="D229" s="4">
        <v>33</v>
      </c>
      <c r="E229" s="22">
        <f t="shared" si="14"/>
        <v>1.7526999999999999</v>
      </c>
      <c r="F229" s="22">
        <f t="shared" ref="F229:F260" si="27">($F$188+(D229-VINMAX)*$E$281/$E$282)/D229</f>
        <v>2.3369333333333331</v>
      </c>
      <c r="G229" s="22">
        <f t="shared" si="15"/>
        <v>2.9211666666666662</v>
      </c>
      <c r="I229" s="4">
        <v>33</v>
      </c>
      <c r="J229" s="22">
        <f t="shared" si="16"/>
        <v>1.7526999999999999</v>
      </c>
      <c r="K229" s="22">
        <f t="shared" si="17"/>
        <v>2.3369333333333331</v>
      </c>
      <c r="L229" s="22">
        <f t="shared" si="18"/>
        <v>2.9211666666666662</v>
      </c>
      <c r="R229" s="4">
        <v>33</v>
      </c>
      <c r="S229" s="22">
        <f t="shared" si="23"/>
        <v>5.0000000000000003E-10</v>
      </c>
      <c r="T229" s="22">
        <f t="shared" si="24"/>
        <v>5.0000000000000003E-10</v>
      </c>
      <c r="U229" s="22">
        <f t="shared" si="25"/>
        <v>5.0000000000000003E-10</v>
      </c>
      <c r="V229" s="22">
        <f t="shared" ca="1" si="26"/>
        <v>24.451824148448424</v>
      </c>
    </row>
    <row r="230" spans="2:22">
      <c r="B230">
        <f t="shared" si="11"/>
        <v>77.531199999999998</v>
      </c>
      <c r="D230" s="4">
        <v>34</v>
      </c>
      <c r="E230" s="22">
        <f t="shared" si="14"/>
        <v>1.7102470588235295</v>
      </c>
      <c r="F230" s="22">
        <f t="shared" si="27"/>
        <v>2.2803294117647059</v>
      </c>
      <c r="G230" s="22">
        <f t="shared" si="15"/>
        <v>2.8504117647058824</v>
      </c>
      <c r="I230" s="4">
        <v>34</v>
      </c>
      <c r="J230" s="22">
        <f t="shared" si="16"/>
        <v>1.7102470588235295</v>
      </c>
      <c r="K230" s="22">
        <f t="shared" si="17"/>
        <v>2.2803294117647059</v>
      </c>
      <c r="L230" s="22">
        <f t="shared" si="18"/>
        <v>2.8504117647058824</v>
      </c>
      <c r="R230" s="4">
        <v>34</v>
      </c>
      <c r="S230" s="22">
        <f t="shared" si="23"/>
        <v>5.0000000000000003E-10</v>
      </c>
      <c r="T230" s="22">
        <f t="shared" si="24"/>
        <v>5.0000000000000003E-10</v>
      </c>
      <c r="U230" s="22">
        <f t="shared" si="25"/>
        <v>5.0000000000000003E-10</v>
      </c>
      <c r="V230" s="22">
        <f t="shared" ca="1" si="26"/>
        <v>23.732652849964644</v>
      </c>
    </row>
    <row r="231" spans="2:22">
      <c r="B231">
        <f t="shared" si="11"/>
        <v>77.943599999999989</v>
      </c>
      <c r="D231" s="4">
        <v>35</v>
      </c>
      <c r="E231" s="22">
        <f t="shared" si="14"/>
        <v>1.6702199999999996</v>
      </c>
      <c r="F231" s="22">
        <f t="shared" si="27"/>
        <v>2.2269599999999996</v>
      </c>
      <c r="G231" s="22">
        <f t="shared" si="15"/>
        <v>2.7836999999999996</v>
      </c>
      <c r="I231" s="4">
        <v>35</v>
      </c>
      <c r="J231" s="22">
        <f t="shared" si="16"/>
        <v>1.6702199999999996</v>
      </c>
      <c r="K231" s="22">
        <f t="shared" si="17"/>
        <v>2.2269599999999996</v>
      </c>
      <c r="L231" s="22">
        <f t="shared" si="18"/>
        <v>2.7836999999999996</v>
      </c>
      <c r="R231" s="4">
        <v>35</v>
      </c>
      <c r="S231" s="22">
        <f t="shared" si="23"/>
        <v>5.0000000000000003E-10</v>
      </c>
      <c r="T231" s="22">
        <f t="shared" si="24"/>
        <v>5.0000000000000003E-10</v>
      </c>
      <c r="U231" s="22">
        <f t="shared" si="25"/>
        <v>5.0000000000000003E-10</v>
      </c>
      <c r="V231" s="22">
        <f t="shared" ca="1" si="26"/>
        <v>23.054577054251371</v>
      </c>
    </row>
    <row r="232" spans="2:22">
      <c r="B232">
        <f t="shared" si="11"/>
        <v>78.355999999999995</v>
      </c>
      <c r="D232" s="4">
        <v>36</v>
      </c>
      <c r="E232" s="22">
        <f t="shared" si="14"/>
        <v>1.6324166666666664</v>
      </c>
      <c r="F232" s="22">
        <f t="shared" si="27"/>
        <v>2.1765555555555554</v>
      </c>
      <c r="G232" s="22">
        <f t="shared" si="15"/>
        <v>2.7206944444444443</v>
      </c>
      <c r="I232" s="4">
        <v>36</v>
      </c>
      <c r="J232" s="22">
        <f t="shared" si="16"/>
        <v>1.6324166666666664</v>
      </c>
      <c r="K232" s="22">
        <f t="shared" si="17"/>
        <v>2.1765555555555554</v>
      </c>
      <c r="L232" s="22">
        <f t="shared" si="18"/>
        <v>2.7206944444444443</v>
      </c>
      <c r="R232" s="4">
        <v>36</v>
      </c>
      <c r="S232" s="22">
        <f t="shared" si="23"/>
        <v>5.0000000000000003E-10</v>
      </c>
      <c r="T232" s="22">
        <f t="shared" si="24"/>
        <v>5.0000000000000003E-10</v>
      </c>
      <c r="U232" s="22">
        <f t="shared" si="25"/>
        <v>5.0000000000000003E-10</v>
      </c>
      <c r="V232" s="22">
        <f t="shared" ca="1" si="26"/>
        <v>22.41417213607772</v>
      </c>
    </row>
    <row r="233" spans="2:22">
      <c r="B233">
        <f t="shared" si="11"/>
        <v>78.768399999999986</v>
      </c>
      <c r="D233" s="4">
        <v>37</v>
      </c>
      <c r="E233" s="22">
        <f t="shared" si="14"/>
        <v>1.5966567567567564</v>
      </c>
      <c r="F233" s="22">
        <f t="shared" si="27"/>
        <v>2.1288756756756753</v>
      </c>
      <c r="G233" s="22">
        <f t="shared" si="15"/>
        <v>2.6610945945945943</v>
      </c>
      <c r="I233" s="4">
        <v>37</v>
      </c>
      <c r="J233" s="22">
        <f t="shared" si="16"/>
        <v>1.5966567567567564</v>
      </c>
      <c r="K233" s="22">
        <f t="shared" si="17"/>
        <v>2.1288756756756753</v>
      </c>
      <c r="L233" s="22">
        <f t="shared" si="18"/>
        <v>2.6610945945945943</v>
      </c>
      <c r="R233" s="4">
        <v>37</v>
      </c>
      <c r="S233" s="22">
        <f t="shared" ref="S233:S237" si="28">IF($R233&gt;$F$181,0.0000000005,J233)</f>
        <v>5.0000000000000003E-10</v>
      </c>
      <c r="T233" s="22">
        <f t="shared" ref="T233:T237" si="29">IF($R233&gt;$F$181,0.0000000005,K233)</f>
        <v>5.0000000000000003E-10</v>
      </c>
      <c r="U233" s="22">
        <f t="shared" ref="U233:U237" si="30">IF($R233&gt;$F$181,0.0000000005,L233)</f>
        <v>5.0000000000000003E-10</v>
      </c>
      <c r="V233" s="22">
        <f t="shared" ref="V233:V237" ca="1" si="31">$X$197/R233</f>
        <v>21.808383699967511</v>
      </c>
    </row>
    <row r="234" spans="2:22">
      <c r="B234">
        <f t="shared" si="11"/>
        <v>79.180799999999977</v>
      </c>
      <c r="D234" s="4">
        <v>38</v>
      </c>
      <c r="E234" s="22">
        <f t="shared" si="14"/>
        <v>1.5627789473684208</v>
      </c>
      <c r="F234" s="22">
        <f t="shared" si="27"/>
        <v>2.0837052631578943</v>
      </c>
      <c r="G234" s="22">
        <f t="shared" si="15"/>
        <v>2.6046315789473677</v>
      </c>
      <c r="I234" s="4">
        <v>38</v>
      </c>
      <c r="J234" s="22">
        <f t="shared" si="16"/>
        <v>1.5627789473684208</v>
      </c>
      <c r="K234" s="22">
        <f t="shared" si="17"/>
        <v>2.0837052631578943</v>
      </c>
      <c r="L234" s="22">
        <f t="shared" si="18"/>
        <v>2.6046315789473677</v>
      </c>
      <c r="R234" s="4">
        <v>38</v>
      </c>
      <c r="S234" s="22">
        <f t="shared" si="28"/>
        <v>5.0000000000000003E-10</v>
      </c>
      <c r="T234" s="22">
        <f t="shared" si="29"/>
        <v>5.0000000000000003E-10</v>
      </c>
      <c r="U234" s="22">
        <f t="shared" si="30"/>
        <v>5.0000000000000003E-10</v>
      </c>
      <c r="V234" s="22">
        <f t="shared" ca="1" si="31"/>
        <v>21.23447886575784</v>
      </c>
    </row>
    <row r="235" spans="2:22">
      <c r="B235">
        <f t="shared" si="11"/>
        <v>79.593199999999996</v>
      </c>
      <c r="D235" s="4">
        <v>39</v>
      </c>
      <c r="E235" s="22">
        <f t="shared" si="14"/>
        <v>1.5306384615384614</v>
      </c>
      <c r="F235" s="22">
        <f t="shared" si="27"/>
        <v>2.0408512820512819</v>
      </c>
      <c r="G235" s="22">
        <f t="shared" si="15"/>
        <v>2.5510641025641023</v>
      </c>
      <c r="I235" s="4">
        <v>39</v>
      </c>
      <c r="J235" s="22">
        <f t="shared" si="16"/>
        <v>1.5306384615384614</v>
      </c>
      <c r="K235" s="22">
        <f t="shared" si="17"/>
        <v>2.0408512820512819</v>
      </c>
      <c r="L235" s="22">
        <f t="shared" si="18"/>
        <v>2.5510641025641023</v>
      </c>
      <c r="R235" s="4">
        <v>39</v>
      </c>
      <c r="S235" s="22">
        <f t="shared" si="28"/>
        <v>5.0000000000000003E-10</v>
      </c>
      <c r="T235" s="22">
        <f t="shared" si="29"/>
        <v>5.0000000000000003E-10</v>
      </c>
      <c r="U235" s="22">
        <f t="shared" si="30"/>
        <v>5.0000000000000003E-10</v>
      </c>
      <c r="V235" s="22">
        <f t="shared" ca="1" si="31"/>
        <v>20.690005048687127</v>
      </c>
    </row>
    <row r="236" spans="2:22">
      <c r="B236">
        <f t="shared" si="11"/>
        <v>80.005599999999987</v>
      </c>
      <c r="D236" s="4">
        <v>40</v>
      </c>
      <c r="E236" s="22">
        <f t="shared" si="14"/>
        <v>1.5001049999999996</v>
      </c>
      <c r="F236" s="22">
        <f t="shared" si="27"/>
        <v>2.0001399999999996</v>
      </c>
      <c r="G236" s="22">
        <f t="shared" si="15"/>
        <v>2.5001749999999996</v>
      </c>
      <c r="I236" s="4">
        <v>40</v>
      </c>
      <c r="J236" s="22">
        <f t="shared" si="16"/>
        <v>1.5001049999999996</v>
      </c>
      <c r="K236" s="22">
        <f t="shared" si="17"/>
        <v>2.0001399999999996</v>
      </c>
      <c r="L236" s="22">
        <f t="shared" si="18"/>
        <v>2.5001749999999996</v>
      </c>
      <c r="R236" s="4">
        <v>40</v>
      </c>
      <c r="S236" s="22">
        <f t="shared" si="28"/>
        <v>5.0000000000000003E-10</v>
      </c>
      <c r="T236" s="22">
        <f t="shared" si="29"/>
        <v>5.0000000000000003E-10</v>
      </c>
      <c r="U236" s="22">
        <f t="shared" si="30"/>
        <v>5.0000000000000003E-10</v>
      </c>
      <c r="V236" s="22">
        <f t="shared" ca="1" si="31"/>
        <v>20.172754922469949</v>
      </c>
    </row>
    <row r="237" spans="2:22">
      <c r="B237">
        <f t="shared" si="11"/>
        <v>80.417999999999992</v>
      </c>
      <c r="D237" s="4">
        <v>41</v>
      </c>
      <c r="E237" s="22">
        <f t="shared" si="14"/>
        <v>1.4710609756097559</v>
      </c>
      <c r="F237" s="22">
        <f t="shared" si="27"/>
        <v>1.9614146341463412</v>
      </c>
      <c r="G237" s="22">
        <f t="shared" si="15"/>
        <v>2.4517682926829263</v>
      </c>
      <c r="I237" s="4">
        <v>41</v>
      </c>
      <c r="J237" s="22">
        <f t="shared" si="16"/>
        <v>1.4710609756097559</v>
      </c>
      <c r="K237" s="22">
        <f t="shared" si="17"/>
        <v>1.9614146341463412</v>
      </c>
      <c r="L237" s="22">
        <f t="shared" si="18"/>
        <v>2.4517682926829263</v>
      </c>
      <c r="R237" s="4">
        <v>41</v>
      </c>
      <c r="S237" s="22">
        <f t="shared" si="28"/>
        <v>5.0000000000000003E-10</v>
      </c>
      <c r="T237" s="22">
        <f t="shared" si="29"/>
        <v>5.0000000000000003E-10</v>
      </c>
      <c r="U237" s="22">
        <f t="shared" si="30"/>
        <v>5.0000000000000003E-10</v>
      </c>
      <c r="V237" s="22">
        <f t="shared" ca="1" si="31"/>
        <v>19.680736509726778</v>
      </c>
    </row>
    <row r="238" spans="2:22">
      <c r="B238">
        <f t="shared" si="11"/>
        <v>80.830399999999997</v>
      </c>
      <c r="D238" s="4">
        <v>42</v>
      </c>
      <c r="E238" s="22">
        <f t="shared" si="14"/>
        <v>1.4434</v>
      </c>
      <c r="F238" s="22">
        <f t="shared" si="27"/>
        <v>1.9245333333333332</v>
      </c>
      <c r="G238" s="22">
        <f t="shared" si="15"/>
        <v>2.4056666666666664</v>
      </c>
      <c r="I238" s="4">
        <v>42</v>
      </c>
      <c r="J238" s="22">
        <f t="shared" si="16"/>
        <v>1.4434</v>
      </c>
      <c r="K238" s="22">
        <f t="shared" si="17"/>
        <v>1.9245333333333332</v>
      </c>
      <c r="L238" s="22">
        <f t="shared" si="18"/>
        <v>2.4056666666666664</v>
      </c>
      <c r="R238" s="4">
        <v>42</v>
      </c>
      <c r="S238" s="22">
        <f t="shared" ref="S238:S253" si="32">IF($R238&gt;$F$181,0.0000000005,J238)</f>
        <v>5.0000000000000003E-10</v>
      </c>
      <c r="T238" s="22">
        <f t="shared" ref="T238:T253" si="33">IF($R238&gt;$F$181,0.0000000005,K238)</f>
        <v>5.0000000000000003E-10</v>
      </c>
      <c r="U238" s="22">
        <f t="shared" ref="U238:U253" si="34">IF($R238&gt;$F$181,0.0000000005,L238)</f>
        <v>5.0000000000000003E-10</v>
      </c>
      <c r="V238" s="22">
        <f t="shared" ca="1" si="26"/>
        <v>19.212147545209476</v>
      </c>
    </row>
    <row r="239" spans="2:22">
      <c r="B239">
        <f t="shared" si="11"/>
        <v>81.242799999999988</v>
      </c>
      <c r="D239" s="4">
        <v>43</v>
      </c>
      <c r="E239" s="22">
        <f t="shared" si="14"/>
        <v>1.4170255813953487</v>
      </c>
      <c r="F239" s="22">
        <f t="shared" si="27"/>
        <v>1.8893674418604649</v>
      </c>
      <c r="G239" s="22">
        <f t="shared" si="15"/>
        <v>2.3617093023255813</v>
      </c>
      <c r="I239" s="4">
        <v>43</v>
      </c>
      <c r="J239" s="22">
        <f t="shared" si="16"/>
        <v>1.4170255813953487</v>
      </c>
      <c r="K239" s="22">
        <f t="shared" si="17"/>
        <v>1.8893674418604649</v>
      </c>
      <c r="L239" s="22">
        <f t="shared" si="18"/>
        <v>2.3617093023255813</v>
      </c>
      <c r="R239" s="4">
        <v>43</v>
      </c>
      <c r="S239" s="22">
        <f t="shared" si="32"/>
        <v>5.0000000000000003E-10</v>
      </c>
      <c r="T239" s="22">
        <f t="shared" si="33"/>
        <v>5.0000000000000003E-10</v>
      </c>
      <c r="U239" s="22">
        <f t="shared" si="34"/>
        <v>5.0000000000000003E-10</v>
      </c>
      <c r="V239" s="22">
        <f t="shared" ca="1" si="26"/>
        <v>18.765353416251116</v>
      </c>
    </row>
    <row r="240" spans="2:22">
      <c r="B240">
        <f t="shared" si="11"/>
        <v>81.655199999999994</v>
      </c>
      <c r="D240" s="4">
        <v>44</v>
      </c>
      <c r="E240" s="22">
        <f t="shared" si="14"/>
        <v>1.3918499999999998</v>
      </c>
      <c r="F240" s="22">
        <f t="shared" si="27"/>
        <v>1.8557999999999999</v>
      </c>
      <c r="G240" s="22">
        <f t="shared" si="15"/>
        <v>2.31975</v>
      </c>
      <c r="I240" s="4">
        <v>44</v>
      </c>
      <c r="J240" s="22">
        <f t="shared" si="16"/>
        <v>1.3918499999999998</v>
      </c>
      <c r="K240" s="22">
        <f t="shared" si="17"/>
        <v>1.8557999999999999</v>
      </c>
      <c r="L240" s="22">
        <f t="shared" si="18"/>
        <v>2.31975</v>
      </c>
      <c r="R240" s="4">
        <v>44</v>
      </c>
      <c r="S240" s="22">
        <f t="shared" si="32"/>
        <v>5.0000000000000003E-10</v>
      </c>
      <c r="T240" s="22">
        <f t="shared" si="33"/>
        <v>5.0000000000000003E-10</v>
      </c>
      <c r="U240" s="22">
        <f t="shared" si="34"/>
        <v>5.0000000000000003E-10</v>
      </c>
      <c r="V240" s="22">
        <f t="shared" ca="1" si="26"/>
        <v>18.338868111336318</v>
      </c>
    </row>
    <row r="241" spans="2:22">
      <c r="B241">
        <f t="shared" si="11"/>
        <v>82.067599999999999</v>
      </c>
      <c r="D241" s="4">
        <v>45</v>
      </c>
      <c r="E241" s="22">
        <f t="shared" si="14"/>
        <v>1.3677933333333334</v>
      </c>
      <c r="F241" s="22">
        <f t="shared" si="27"/>
        <v>1.8237244444444445</v>
      </c>
      <c r="G241" s="22">
        <f t="shared" si="15"/>
        <v>2.2796555555555558</v>
      </c>
      <c r="I241" s="4">
        <v>45</v>
      </c>
      <c r="J241" s="22">
        <f t="shared" si="16"/>
        <v>1.3677933333333334</v>
      </c>
      <c r="K241" s="22">
        <f t="shared" si="17"/>
        <v>1.8237244444444445</v>
      </c>
      <c r="L241" s="22">
        <f t="shared" si="18"/>
        <v>2.2796555555555558</v>
      </c>
      <c r="R241" s="4">
        <v>45</v>
      </c>
      <c r="S241" s="22">
        <f t="shared" si="32"/>
        <v>5.0000000000000003E-10</v>
      </c>
      <c r="T241" s="22">
        <f t="shared" si="33"/>
        <v>5.0000000000000003E-10</v>
      </c>
      <c r="U241" s="22">
        <f t="shared" si="34"/>
        <v>5.0000000000000003E-10</v>
      </c>
      <c r="V241" s="22">
        <f t="shared" ca="1" si="26"/>
        <v>17.931337708862177</v>
      </c>
    </row>
    <row r="242" spans="2:22">
      <c r="B242">
        <f t="shared" si="11"/>
        <v>82.47999999999999</v>
      </c>
      <c r="D242" s="4">
        <v>46</v>
      </c>
      <c r="E242" s="22">
        <f t="shared" si="14"/>
        <v>1.344782608695652</v>
      </c>
      <c r="F242" s="22">
        <f t="shared" si="27"/>
        <v>1.7930434782608693</v>
      </c>
      <c r="G242" s="22">
        <f t="shared" si="15"/>
        <v>2.2413043478260866</v>
      </c>
      <c r="I242" s="4">
        <v>46</v>
      </c>
      <c r="J242" s="22">
        <f t="shared" si="16"/>
        <v>1.344782608695652</v>
      </c>
      <c r="K242" s="22">
        <f t="shared" si="17"/>
        <v>1.7930434782608693</v>
      </c>
      <c r="L242" s="22">
        <f t="shared" si="18"/>
        <v>2.2413043478260866</v>
      </c>
      <c r="R242" s="4">
        <v>46</v>
      </c>
      <c r="S242" s="22">
        <f t="shared" si="32"/>
        <v>5.0000000000000003E-10</v>
      </c>
      <c r="T242" s="22">
        <f t="shared" si="33"/>
        <v>5.0000000000000003E-10</v>
      </c>
      <c r="U242" s="22">
        <f t="shared" si="34"/>
        <v>5.0000000000000003E-10</v>
      </c>
      <c r="V242" s="22">
        <f t="shared" ca="1" si="26"/>
        <v>17.541526019539084</v>
      </c>
    </row>
    <row r="243" spans="2:22">
      <c r="B243">
        <f t="shared" si="11"/>
        <v>82.892399999999995</v>
      </c>
      <c r="D243" s="4">
        <v>47</v>
      </c>
      <c r="E243" s="22">
        <f t="shared" si="14"/>
        <v>1.322751063829787</v>
      </c>
      <c r="F243" s="22">
        <f t="shared" si="27"/>
        <v>1.7636680851063828</v>
      </c>
      <c r="G243" s="22">
        <f t="shared" si="15"/>
        <v>2.2045851063829787</v>
      </c>
      <c r="I243" s="4">
        <v>47</v>
      </c>
      <c r="J243" s="22">
        <f t="shared" si="16"/>
        <v>1.322751063829787</v>
      </c>
      <c r="K243" s="22">
        <f t="shared" si="17"/>
        <v>1.7636680851063828</v>
      </c>
      <c r="L243" s="22">
        <f t="shared" si="18"/>
        <v>2.2045851063829787</v>
      </c>
      <c r="R243" s="4">
        <v>47</v>
      </c>
      <c r="S243" s="22">
        <f t="shared" si="32"/>
        <v>5.0000000000000003E-10</v>
      </c>
      <c r="T243" s="22">
        <f t="shared" si="33"/>
        <v>5.0000000000000003E-10</v>
      </c>
      <c r="U243" s="22">
        <f t="shared" si="34"/>
        <v>5.0000000000000003E-10</v>
      </c>
      <c r="V243" s="22">
        <f t="shared" ca="1" si="26"/>
        <v>17.168302061676552</v>
      </c>
    </row>
    <row r="244" spans="2:22">
      <c r="B244">
        <f t="shared" si="11"/>
        <v>83.3048</v>
      </c>
      <c r="D244" s="4">
        <v>48</v>
      </c>
      <c r="E244" s="22">
        <f t="shared" si="14"/>
        <v>1.3016375</v>
      </c>
      <c r="F244" s="22">
        <f t="shared" si="27"/>
        <v>1.7355166666666666</v>
      </c>
      <c r="G244" s="22">
        <f t="shared" si="15"/>
        <v>2.1693958333333332</v>
      </c>
      <c r="I244" s="4">
        <v>48</v>
      </c>
      <c r="J244" s="22">
        <f t="shared" si="16"/>
        <v>1.3016375</v>
      </c>
      <c r="K244" s="22">
        <f t="shared" si="17"/>
        <v>1.7355166666666666</v>
      </c>
      <c r="L244" s="22">
        <f t="shared" si="18"/>
        <v>2.1693958333333332</v>
      </c>
      <c r="R244" s="4">
        <v>48</v>
      </c>
      <c r="S244" s="22">
        <f t="shared" si="32"/>
        <v>5.0000000000000003E-10</v>
      </c>
      <c r="T244" s="22">
        <f t="shared" si="33"/>
        <v>5.0000000000000003E-10</v>
      </c>
      <c r="U244" s="22">
        <f t="shared" si="34"/>
        <v>5.0000000000000003E-10</v>
      </c>
      <c r="V244" s="22">
        <f t="shared" ca="1" si="26"/>
        <v>16.810629102058289</v>
      </c>
    </row>
    <row r="245" spans="2:22">
      <c r="B245">
        <f t="shared" si="11"/>
        <v>83.717199999999991</v>
      </c>
      <c r="D245" s="4">
        <v>49</v>
      </c>
      <c r="E245" s="22">
        <f t="shared" si="14"/>
        <v>1.2813857142857141</v>
      </c>
      <c r="F245" s="22">
        <f t="shared" si="27"/>
        <v>1.7085142857142854</v>
      </c>
      <c r="G245" s="22">
        <f t="shared" si="15"/>
        <v>2.135642857142857</v>
      </c>
      <c r="I245" s="4">
        <v>49</v>
      </c>
      <c r="J245" s="22">
        <f t="shared" si="16"/>
        <v>1.2813857142857141</v>
      </c>
      <c r="K245" s="22">
        <f t="shared" si="17"/>
        <v>1.7085142857142854</v>
      </c>
      <c r="L245" s="22">
        <f t="shared" si="18"/>
        <v>2.135642857142857</v>
      </c>
      <c r="R245" s="4">
        <v>49</v>
      </c>
      <c r="S245" s="22">
        <f t="shared" si="32"/>
        <v>5.0000000000000003E-10</v>
      </c>
      <c r="T245" s="22">
        <f t="shared" si="33"/>
        <v>5.0000000000000003E-10</v>
      </c>
      <c r="U245" s="22">
        <f t="shared" si="34"/>
        <v>5.0000000000000003E-10</v>
      </c>
      <c r="V245" s="22">
        <f t="shared" ca="1" si="26"/>
        <v>16.46755503875098</v>
      </c>
    </row>
    <row r="246" spans="2:22">
      <c r="B246">
        <f t="shared" si="11"/>
        <v>84.129599999999996</v>
      </c>
      <c r="D246" s="4">
        <v>50</v>
      </c>
      <c r="E246" s="22">
        <f t="shared" si="14"/>
        <v>1.261944</v>
      </c>
      <c r="F246" s="22">
        <f t="shared" si="27"/>
        <v>1.6825919999999999</v>
      </c>
      <c r="G246" s="22">
        <f t="shared" si="15"/>
        <v>2.10324</v>
      </c>
      <c r="I246" s="4">
        <v>50</v>
      </c>
      <c r="J246" s="22">
        <f t="shared" si="16"/>
        <v>1.261944</v>
      </c>
      <c r="K246" s="22">
        <f t="shared" si="17"/>
        <v>1.6825919999999999</v>
      </c>
      <c r="L246" s="22">
        <f t="shared" si="18"/>
        <v>2.10324</v>
      </c>
      <c r="R246" s="4">
        <v>50</v>
      </c>
      <c r="S246" s="22">
        <f t="shared" si="32"/>
        <v>5.0000000000000003E-10</v>
      </c>
      <c r="T246" s="22">
        <f t="shared" si="33"/>
        <v>5.0000000000000003E-10</v>
      </c>
      <c r="U246" s="22">
        <f t="shared" si="34"/>
        <v>5.0000000000000003E-10</v>
      </c>
      <c r="V246" s="22">
        <f t="shared" ca="1" si="26"/>
        <v>16.138203937975959</v>
      </c>
    </row>
    <row r="247" spans="2:22">
      <c r="B247">
        <f t="shared" si="11"/>
        <v>84.541999999999987</v>
      </c>
      <c r="D247" s="4">
        <v>51</v>
      </c>
      <c r="E247" s="22">
        <f t="shared" si="14"/>
        <v>1.2432647058823529</v>
      </c>
      <c r="F247" s="22">
        <f t="shared" si="27"/>
        <v>1.6576862745098038</v>
      </c>
      <c r="G247" s="22">
        <f t="shared" si="15"/>
        <v>2.0721078431372546</v>
      </c>
      <c r="I247" s="4">
        <v>51</v>
      </c>
      <c r="J247" s="22">
        <f t="shared" si="16"/>
        <v>1.2432647058823529</v>
      </c>
      <c r="K247" s="22">
        <f t="shared" si="17"/>
        <v>1.6576862745098038</v>
      </c>
      <c r="L247" s="22">
        <f t="shared" si="18"/>
        <v>2.0721078431372546</v>
      </c>
      <c r="R247" s="4">
        <v>51</v>
      </c>
      <c r="S247" s="22">
        <f t="shared" si="32"/>
        <v>5.0000000000000003E-10</v>
      </c>
      <c r="T247" s="22">
        <f t="shared" si="33"/>
        <v>5.0000000000000003E-10</v>
      </c>
      <c r="U247" s="22">
        <f t="shared" si="34"/>
        <v>5.0000000000000003E-10</v>
      </c>
      <c r="V247" s="22">
        <f t="shared" ca="1" si="26"/>
        <v>15.821768566643097</v>
      </c>
    </row>
    <row r="248" spans="2:22">
      <c r="B248">
        <f t="shared" si="11"/>
        <v>84.954399999999993</v>
      </c>
      <c r="D248" s="4">
        <v>52</v>
      </c>
      <c r="E248" s="22">
        <f t="shared" si="14"/>
        <v>1.2253038461538459</v>
      </c>
      <c r="F248" s="22">
        <f t="shared" si="27"/>
        <v>1.6337384615384614</v>
      </c>
      <c r="G248" s="22">
        <f t="shared" si="15"/>
        <v>2.0421730769230768</v>
      </c>
      <c r="I248" s="4">
        <v>52</v>
      </c>
      <c r="J248" s="22">
        <f t="shared" si="16"/>
        <v>1.2253038461538459</v>
      </c>
      <c r="K248" s="22">
        <f t="shared" si="17"/>
        <v>1.6337384615384614</v>
      </c>
      <c r="L248" s="22">
        <f t="shared" si="18"/>
        <v>2.0421730769230768</v>
      </c>
      <c r="R248" s="4">
        <v>52</v>
      </c>
      <c r="S248" s="22">
        <f t="shared" si="32"/>
        <v>5.0000000000000003E-10</v>
      </c>
      <c r="T248" s="22">
        <f t="shared" si="33"/>
        <v>5.0000000000000003E-10</v>
      </c>
      <c r="U248" s="22">
        <f t="shared" si="34"/>
        <v>5.0000000000000003E-10</v>
      </c>
      <c r="V248" s="22">
        <f t="shared" ca="1" si="26"/>
        <v>15.517503786515345</v>
      </c>
    </row>
    <row r="249" spans="2:22">
      <c r="B249">
        <f t="shared" si="11"/>
        <v>85.366799999999998</v>
      </c>
      <c r="D249" s="4">
        <v>53</v>
      </c>
      <c r="E249" s="22">
        <f t="shared" si="14"/>
        <v>1.208020754716981</v>
      </c>
      <c r="F249" s="22">
        <f t="shared" si="27"/>
        <v>1.6106943396226414</v>
      </c>
      <c r="G249" s="22">
        <f t="shared" si="15"/>
        <v>2.0133679245283016</v>
      </c>
      <c r="I249" s="4">
        <v>53</v>
      </c>
      <c r="J249" s="22">
        <f t="shared" si="16"/>
        <v>1.208020754716981</v>
      </c>
      <c r="K249" s="22">
        <f t="shared" si="17"/>
        <v>1.6106943396226414</v>
      </c>
      <c r="L249" s="22">
        <f t="shared" si="18"/>
        <v>2.0133679245283016</v>
      </c>
      <c r="R249" s="4">
        <v>53</v>
      </c>
      <c r="S249" s="22">
        <f t="shared" si="32"/>
        <v>5.0000000000000003E-10</v>
      </c>
      <c r="T249" s="22">
        <f t="shared" si="33"/>
        <v>5.0000000000000003E-10</v>
      </c>
      <c r="U249" s="22">
        <f t="shared" si="34"/>
        <v>5.0000000000000003E-10</v>
      </c>
      <c r="V249" s="22">
        <f t="shared" ca="1" si="26"/>
        <v>15.224720696203734</v>
      </c>
    </row>
    <row r="250" spans="2:22">
      <c r="B250">
        <f t="shared" si="11"/>
        <v>85.779199999999989</v>
      </c>
      <c r="D250" s="4">
        <v>54</v>
      </c>
      <c r="E250" s="22">
        <f t="shared" si="14"/>
        <v>1.1913777777777776</v>
      </c>
      <c r="F250" s="22">
        <f t="shared" si="27"/>
        <v>1.5885037037037035</v>
      </c>
      <c r="G250" s="22">
        <f t="shared" si="15"/>
        <v>1.9856296296296294</v>
      </c>
      <c r="I250" s="4">
        <v>54</v>
      </c>
      <c r="J250" s="22">
        <f t="shared" si="16"/>
        <v>1.1913777777777776</v>
      </c>
      <c r="K250" s="22">
        <f t="shared" si="17"/>
        <v>1.5885037037037035</v>
      </c>
      <c r="L250" s="22">
        <f t="shared" si="18"/>
        <v>1.9856296296296294</v>
      </c>
      <c r="R250" s="4">
        <v>54</v>
      </c>
      <c r="S250" s="22">
        <f t="shared" si="32"/>
        <v>5.0000000000000003E-10</v>
      </c>
      <c r="T250" s="22">
        <f t="shared" si="33"/>
        <v>5.0000000000000003E-10</v>
      </c>
      <c r="U250" s="22">
        <f t="shared" si="34"/>
        <v>5.0000000000000003E-10</v>
      </c>
      <c r="V250" s="22">
        <f t="shared" ca="1" si="26"/>
        <v>14.942781424051814</v>
      </c>
    </row>
    <row r="251" spans="2:22">
      <c r="B251">
        <f t="shared" si="11"/>
        <v>86.191599999999994</v>
      </c>
      <c r="D251" s="4">
        <v>55</v>
      </c>
      <c r="E251" s="22">
        <f t="shared" si="14"/>
        <v>1.1753399999999998</v>
      </c>
      <c r="F251" s="22">
        <f t="shared" si="27"/>
        <v>1.5671199999999998</v>
      </c>
      <c r="G251" s="22">
        <f t="shared" si="15"/>
        <v>1.9588999999999999</v>
      </c>
      <c r="I251" s="4">
        <v>55</v>
      </c>
      <c r="J251" s="22">
        <f t="shared" si="16"/>
        <v>1.1753399999999998</v>
      </c>
      <c r="K251" s="22">
        <f t="shared" si="17"/>
        <v>1.5671199999999998</v>
      </c>
      <c r="L251" s="22">
        <f t="shared" si="18"/>
        <v>1.9588999999999999</v>
      </c>
      <c r="R251" s="4">
        <v>55</v>
      </c>
      <c r="S251" s="22">
        <f t="shared" si="32"/>
        <v>5.0000000000000003E-10</v>
      </c>
      <c r="T251" s="22">
        <f t="shared" si="33"/>
        <v>5.0000000000000003E-10</v>
      </c>
      <c r="U251" s="22">
        <f t="shared" si="34"/>
        <v>5.0000000000000003E-10</v>
      </c>
      <c r="V251" s="22">
        <f t="shared" ca="1" si="26"/>
        <v>14.671094489069054</v>
      </c>
    </row>
    <row r="252" spans="2:22">
      <c r="B252">
        <f t="shared" si="11"/>
        <v>86.603999999999985</v>
      </c>
      <c r="D252" s="4">
        <v>56</v>
      </c>
      <c r="E252" s="22">
        <f t="shared" si="14"/>
        <v>1.1598749999999998</v>
      </c>
      <c r="F252" s="22">
        <f t="shared" si="27"/>
        <v>1.5464999999999998</v>
      </c>
      <c r="G252" s="22">
        <f t="shared" si="15"/>
        <v>1.9331249999999998</v>
      </c>
      <c r="I252" s="4">
        <v>56</v>
      </c>
      <c r="J252" s="22">
        <f t="shared" si="16"/>
        <v>1.1598749999999998</v>
      </c>
      <c r="K252" s="22">
        <f t="shared" si="17"/>
        <v>1.5464999999999998</v>
      </c>
      <c r="L252" s="22">
        <f t="shared" si="18"/>
        <v>1.9331249999999998</v>
      </c>
      <c r="R252" s="4">
        <v>56</v>
      </c>
      <c r="S252" s="22">
        <f t="shared" si="32"/>
        <v>5.0000000000000003E-10</v>
      </c>
      <c r="T252" s="22">
        <f t="shared" si="33"/>
        <v>5.0000000000000003E-10</v>
      </c>
      <c r="U252" s="22">
        <f t="shared" si="34"/>
        <v>5.0000000000000003E-10</v>
      </c>
      <c r="V252" s="22">
        <f t="shared" ca="1" si="26"/>
        <v>14.409110658907107</v>
      </c>
    </row>
    <row r="253" spans="2:22">
      <c r="B253">
        <f t="shared" si="11"/>
        <v>87.01639999999999</v>
      </c>
      <c r="D253" s="4">
        <v>57</v>
      </c>
      <c r="E253" s="22">
        <f t="shared" si="14"/>
        <v>1.1449526315789473</v>
      </c>
      <c r="F253" s="22">
        <f t="shared" si="27"/>
        <v>1.5266035087719296</v>
      </c>
      <c r="G253" s="22">
        <f t="shared" si="15"/>
        <v>1.9082543859649119</v>
      </c>
      <c r="I253" s="4">
        <v>57</v>
      </c>
      <c r="J253" s="22">
        <f t="shared" si="16"/>
        <v>1.1449526315789473</v>
      </c>
      <c r="K253" s="22">
        <f t="shared" si="17"/>
        <v>1.5266035087719296</v>
      </c>
      <c r="L253" s="22">
        <f t="shared" si="18"/>
        <v>1.9082543859649119</v>
      </c>
      <c r="R253" s="4">
        <v>57</v>
      </c>
      <c r="S253" s="22">
        <f t="shared" si="32"/>
        <v>5.0000000000000003E-10</v>
      </c>
      <c r="T253" s="22">
        <f t="shared" si="33"/>
        <v>5.0000000000000003E-10</v>
      </c>
      <c r="U253" s="22">
        <f t="shared" si="34"/>
        <v>5.0000000000000003E-10</v>
      </c>
      <c r="V253" s="22">
        <f t="shared" ca="1" si="26"/>
        <v>14.15631924383856</v>
      </c>
    </row>
    <row r="254" spans="2:22">
      <c r="B254">
        <f t="shared" si="11"/>
        <v>87.428799999999995</v>
      </c>
      <c r="D254" s="4">
        <v>58</v>
      </c>
      <c r="E254" s="22">
        <f t="shared" si="14"/>
        <v>1.1305448275862067</v>
      </c>
      <c r="F254" s="22">
        <f t="shared" si="27"/>
        <v>1.5073931034482757</v>
      </c>
      <c r="G254" s="22">
        <f t="shared" si="15"/>
        <v>1.8842413793103447</v>
      </c>
      <c r="I254" s="4">
        <v>58</v>
      </c>
      <c r="J254" s="22">
        <f t="shared" si="16"/>
        <v>1.1305448275862067</v>
      </c>
      <c r="K254" s="22">
        <f t="shared" si="17"/>
        <v>1.5073931034482757</v>
      </c>
      <c r="L254" s="22">
        <f t="shared" si="18"/>
        <v>1.8842413793103447</v>
      </c>
      <c r="R254" s="4">
        <v>58</v>
      </c>
      <c r="S254" s="22">
        <f t="shared" ref="S254:S276" si="35">IF($R254&gt;$F$181,0.0000000005,J254)</f>
        <v>5.0000000000000003E-10</v>
      </c>
      <c r="T254" s="22">
        <f t="shared" ref="T254:T276" si="36">IF($R254&gt;$F$181,0.0000000005,K254)</f>
        <v>5.0000000000000003E-10</v>
      </c>
      <c r="U254" s="22">
        <f t="shared" ref="U254:U276" si="37">IF($R254&gt;$F$181,0.0000000005,L254)</f>
        <v>5.0000000000000003E-10</v>
      </c>
      <c r="V254" s="22">
        <f t="shared" ref="V254:V276" ca="1" si="38">$X$197/R254</f>
        <v>13.912244774117205</v>
      </c>
    </row>
    <row r="255" spans="2:22">
      <c r="B255">
        <f t="shared" si="11"/>
        <v>87.841199999999986</v>
      </c>
      <c r="D255" s="4">
        <v>59</v>
      </c>
      <c r="E255" s="22">
        <f t="shared" si="14"/>
        <v>1.1166254237288133</v>
      </c>
      <c r="F255" s="22">
        <f t="shared" si="27"/>
        <v>1.4888338983050846</v>
      </c>
      <c r="G255" s="22">
        <f t="shared" si="15"/>
        <v>1.8610423728813559</v>
      </c>
      <c r="I255" s="4">
        <v>59</v>
      </c>
      <c r="J255" s="22">
        <f t="shared" si="16"/>
        <v>1.1166254237288133</v>
      </c>
      <c r="K255" s="22">
        <f t="shared" si="17"/>
        <v>1.4888338983050846</v>
      </c>
      <c r="L255" s="22">
        <f t="shared" si="18"/>
        <v>1.8610423728813559</v>
      </c>
      <c r="R255" s="4">
        <v>59</v>
      </c>
      <c r="S255" s="22">
        <f t="shared" si="35"/>
        <v>5.0000000000000003E-10</v>
      </c>
      <c r="T255" s="22">
        <f t="shared" si="36"/>
        <v>5.0000000000000003E-10</v>
      </c>
      <c r="U255" s="22">
        <f t="shared" si="37"/>
        <v>5.0000000000000003E-10</v>
      </c>
      <c r="V255" s="22">
        <f t="shared" ca="1" si="38"/>
        <v>13.676444015233864</v>
      </c>
    </row>
    <row r="256" spans="2:22">
      <c r="B256">
        <f t="shared" si="11"/>
        <v>88.253599999999992</v>
      </c>
      <c r="D256" s="4">
        <v>60</v>
      </c>
      <c r="E256" s="22">
        <f t="shared" si="14"/>
        <v>1.10317</v>
      </c>
      <c r="F256" s="22">
        <f t="shared" si="27"/>
        <v>1.4708933333333332</v>
      </c>
      <c r="G256" s="22">
        <f t="shared" si="15"/>
        <v>1.8386166666666663</v>
      </c>
      <c r="I256" s="4">
        <v>60</v>
      </c>
      <c r="J256" s="22">
        <f t="shared" si="16"/>
        <v>1.10317</v>
      </c>
      <c r="K256" s="22">
        <f t="shared" si="17"/>
        <v>1.4708933333333332</v>
      </c>
      <c r="L256" s="22">
        <f t="shared" si="18"/>
        <v>1.8386166666666663</v>
      </c>
      <c r="R256" s="4">
        <v>60</v>
      </c>
      <c r="S256" s="22">
        <f t="shared" si="35"/>
        <v>5.0000000000000003E-10</v>
      </c>
      <c r="T256" s="22">
        <f t="shared" si="36"/>
        <v>5.0000000000000003E-10</v>
      </c>
      <c r="U256" s="22">
        <f t="shared" si="37"/>
        <v>5.0000000000000003E-10</v>
      </c>
      <c r="V256" s="22">
        <f t="shared" ca="1" si="38"/>
        <v>13.448503281646632</v>
      </c>
    </row>
    <row r="257" spans="2:22">
      <c r="B257">
        <f t="shared" si="11"/>
        <v>88.665999999999997</v>
      </c>
      <c r="D257" s="4">
        <v>61</v>
      </c>
      <c r="E257" s="22">
        <f t="shared" si="14"/>
        <v>1.090155737704918</v>
      </c>
      <c r="F257" s="22">
        <f t="shared" si="27"/>
        <v>1.4535409836065574</v>
      </c>
      <c r="G257" s="22">
        <f t="shared" si="15"/>
        <v>1.8169262295081967</v>
      </c>
      <c r="I257" s="4">
        <v>61</v>
      </c>
      <c r="J257" s="22">
        <f t="shared" si="16"/>
        <v>1.090155737704918</v>
      </c>
      <c r="K257" s="22">
        <f t="shared" si="17"/>
        <v>1.4535409836065574</v>
      </c>
      <c r="L257" s="22">
        <f t="shared" si="18"/>
        <v>1.8169262295081967</v>
      </c>
      <c r="R257" s="4">
        <v>61</v>
      </c>
      <c r="S257" s="22">
        <f t="shared" si="35"/>
        <v>5.0000000000000003E-10</v>
      </c>
      <c r="T257" s="22">
        <f t="shared" si="36"/>
        <v>5.0000000000000003E-10</v>
      </c>
      <c r="U257" s="22">
        <f t="shared" si="37"/>
        <v>5.0000000000000003E-10</v>
      </c>
      <c r="V257" s="22">
        <f t="shared" ca="1" si="38"/>
        <v>13.228036014734393</v>
      </c>
    </row>
    <row r="258" spans="2:22">
      <c r="B258">
        <f t="shared" si="11"/>
        <v>89.078399999999988</v>
      </c>
      <c r="D258" s="4">
        <v>62</v>
      </c>
      <c r="E258" s="22">
        <f t="shared" si="14"/>
        <v>1.0775612903225806</v>
      </c>
      <c r="F258" s="22">
        <f t="shared" si="27"/>
        <v>1.4367483870967741</v>
      </c>
      <c r="G258" s="22">
        <f t="shared" si="15"/>
        <v>1.7959354838709676</v>
      </c>
      <c r="I258" s="4">
        <v>62</v>
      </c>
      <c r="J258" s="22">
        <f t="shared" si="16"/>
        <v>1.0775612903225806</v>
      </c>
      <c r="K258" s="22">
        <f t="shared" si="17"/>
        <v>1.4367483870967741</v>
      </c>
      <c r="L258" s="22">
        <f t="shared" si="18"/>
        <v>1.7959354838709676</v>
      </c>
      <c r="R258" s="4">
        <v>62</v>
      </c>
      <c r="S258" s="22">
        <f t="shared" si="35"/>
        <v>5.0000000000000003E-10</v>
      </c>
      <c r="T258" s="22">
        <f t="shared" si="36"/>
        <v>5.0000000000000003E-10</v>
      </c>
      <c r="U258" s="22">
        <f t="shared" si="37"/>
        <v>5.0000000000000003E-10</v>
      </c>
      <c r="V258" s="22">
        <f t="shared" ca="1" si="38"/>
        <v>13.014680595141902</v>
      </c>
    </row>
    <row r="259" spans="2:22">
      <c r="B259">
        <f t="shared" si="11"/>
        <v>89.490799999999993</v>
      </c>
      <c r="D259" s="4">
        <v>63</v>
      </c>
      <c r="E259" s="22">
        <f t="shared" si="14"/>
        <v>1.0653666666666666</v>
      </c>
      <c r="F259" s="22">
        <f t="shared" si="27"/>
        <v>1.4204888888888887</v>
      </c>
      <c r="G259" s="22">
        <f t="shared" si="15"/>
        <v>1.7756111111111108</v>
      </c>
      <c r="I259" s="4">
        <v>63</v>
      </c>
      <c r="J259" s="22">
        <f t="shared" si="16"/>
        <v>1.0653666666666666</v>
      </c>
      <c r="K259" s="22">
        <f t="shared" si="17"/>
        <v>1.4204888888888887</v>
      </c>
      <c r="L259" s="22">
        <f t="shared" si="18"/>
        <v>1.7756111111111108</v>
      </c>
      <c r="R259" s="4">
        <v>63</v>
      </c>
      <c r="S259" s="22">
        <f t="shared" si="35"/>
        <v>5.0000000000000003E-10</v>
      </c>
      <c r="T259" s="22">
        <f t="shared" si="36"/>
        <v>5.0000000000000003E-10</v>
      </c>
      <c r="U259" s="22">
        <f t="shared" si="37"/>
        <v>5.0000000000000003E-10</v>
      </c>
      <c r="V259" s="22">
        <f t="shared" ca="1" si="38"/>
        <v>12.808098363472983</v>
      </c>
    </row>
    <row r="260" spans="2:22">
      <c r="B260">
        <f t="shared" si="11"/>
        <v>89.903199999999998</v>
      </c>
      <c r="D260" s="4">
        <v>64</v>
      </c>
      <c r="E260" s="22">
        <f t="shared" si="14"/>
        <v>1.0535531250000001</v>
      </c>
      <c r="F260" s="22">
        <f t="shared" si="27"/>
        <v>1.4047375</v>
      </c>
      <c r="G260" s="22">
        <f t="shared" si="15"/>
        <v>1.7559218749999999</v>
      </c>
      <c r="I260" s="4">
        <v>64</v>
      </c>
      <c r="J260" s="22">
        <f t="shared" si="16"/>
        <v>1.0535531250000001</v>
      </c>
      <c r="K260" s="22">
        <f t="shared" si="17"/>
        <v>1.4047375</v>
      </c>
      <c r="L260" s="22">
        <f t="shared" si="18"/>
        <v>1.7559218749999999</v>
      </c>
      <c r="R260" s="4">
        <v>64</v>
      </c>
      <c r="S260" s="22">
        <f t="shared" si="35"/>
        <v>5.0000000000000003E-10</v>
      </c>
      <c r="T260" s="22">
        <f t="shared" si="36"/>
        <v>5.0000000000000003E-10</v>
      </c>
      <c r="U260" s="22">
        <f t="shared" si="37"/>
        <v>5.0000000000000003E-10</v>
      </c>
      <c r="V260" s="22">
        <f t="shared" ca="1" si="38"/>
        <v>12.607971826543718</v>
      </c>
    </row>
    <row r="261" spans="2:22">
      <c r="B261">
        <f t="shared" si="11"/>
        <v>90.315599999999989</v>
      </c>
      <c r="D261" s="4">
        <v>65</v>
      </c>
      <c r="E261" s="22">
        <f t="shared" si="14"/>
        <v>1.0421030769230768</v>
      </c>
      <c r="F261" s="22">
        <f t="shared" ref="F261:F276" si="39">($F$188+(D261-VINMAX)*$E$281/$E$282)/D261</f>
        <v>1.3894707692307691</v>
      </c>
      <c r="G261" s="22">
        <f t="shared" si="15"/>
        <v>1.7368384615384613</v>
      </c>
      <c r="I261" s="4">
        <v>65</v>
      </c>
      <c r="J261" s="22">
        <f t="shared" si="16"/>
        <v>1.0421030769230768</v>
      </c>
      <c r="K261" s="22">
        <f t="shared" si="17"/>
        <v>1.3894707692307691</v>
      </c>
      <c r="L261" s="22">
        <f t="shared" si="18"/>
        <v>1.7368384615384613</v>
      </c>
      <c r="R261" s="4">
        <v>65</v>
      </c>
      <c r="S261" s="22">
        <f t="shared" si="35"/>
        <v>5.0000000000000003E-10</v>
      </c>
      <c r="T261" s="22">
        <f t="shared" si="36"/>
        <v>5.0000000000000003E-10</v>
      </c>
      <c r="U261" s="22">
        <f t="shared" si="37"/>
        <v>5.0000000000000003E-10</v>
      </c>
      <c r="V261" s="22">
        <f t="shared" ca="1" si="38"/>
        <v>12.414003029212276</v>
      </c>
    </row>
    <row r="262" spans="2:22">
      <c r="B262">
        <f t="shared" ref="B262:B276" si="40">D262*F262</f>
        <v>90.727999999999994</v>
      </c>
      <c r="D262" s="4">
        <v>66</v>
      </c>
      <c r="E262" s="22">
        <f t="shared" si="14"/>
        <v>1.0309999999999999</v>
      </c>
      <c r="F262" s="22">
        <f t="shared" si="39"/>
        <v>1.3746666666666665</v>
      </c>
      <c r="G262" s="22">
        <f t="shared" si="15"/>
        <v>1.718333333333333</v>
      </c>
      <c r="I262" s="4">
        <v>66</v>
      </c>
      <c r="J262" s="22">
        <f t="shared" si="16"/>
        <v>1.0309999999999999</v>
      </c>
      <c r="K262" s="22">
        <f t="shared" si="17"/>
        <v>1.3746666666666665</v>
      </c>
      <c r="L262" s="22">
        <f t="shared" si="18"/>
        <v>1.718333333333333</v>
      </c>
      <c r="R262" s="4">
        <v>66</v>
      </c>
      <c r="S262" s="22">
        <f t="shared" si="35"/>
        <v>5.0000000000000003E-10</v>
      </c>
      <c r="T262" s="22">
        <f t="shared" si="36"/>
        <v>5.0000000000000003E-10</v>
      </c>
      <c r="U262" s="22">
        <f t="shared" si="37"/>
        <v>5.0000000000000003E-10</v>
      </c>
      <c r="V262" s="22">
        <f t="shared" ca="1" si="38"/>
        <v>12.225912074224212</v>
      </c>
    </row>
    <row r="263" spans="2:22">
      <c r="B263">
        <f t="shared" si="40"/>
        <v>91.140399999999985</v>
      </c>
      <c r="D263" s="4">
        <v>67</v>
      </c>
      <c r="E263" s="22">
        <f t="shared" si="14"/>
        <v>1.0202283582089551</v>
      </c>
      <c r="F263" s="22">
        <f t="shared" si="39"/>
        <v>1.3603044776119402</v>
      </c>
      <c r="G263" s="22">
        <f t="shared" si="15"/>
        <v>1.7003805970149253</v>
      </c>
      <c r="I263" s="4">
        <v>67</v>
      </c>
      <c r="J263" s="22">
        <f t="shared" si="16"/>
        <v>1.0202283582089551</v>
      </c>
      <c r="K263" s="22">
        <f t="shared" si="17"/>
        <v>1.3603044776119402</v>
      </c>
      <c r="L263" s="22">
        <f t="shared" si="18"/>
        <v>1.7003805970149253</v>
      </c>
      <c r="R263" s="4">
        <v>67</v>
      </c>
      <c r="S263" s="22">
        <f t="shared" si="35"/>
        <v>5.0000000000000003E-10</v>
      </c>
      <c r="T263" s="22">
        <f t="shared" si="36"/>
        <v>5.0000000000000003E-10</v>
      </c>
      <c r="U263" s="22">
        <f t="shared" si="37"/>
        <v>5.0000000000000003E-10</v>
      </c>
      <c r="V263" s="22">
        <f t="shared" ca="1" si="38"/>
        <v>12.043435774608925</v>
      </c>
    </row>
    <row r="264" spans="2:22">
      <c r="B264">
        <f t="shared" si="40"/>
        <v>91.552799999999991</v>
      </c>
      <c r="D264" s="4">
        <v>68</v>
      </c>
      <c r="E264" s="22">
        <f t="shared" si="14"/>
        <v>1.0097735294117647</v>
      </c>
      <c r="F264" s="22">
        <f t="shared" si="39"/>
        <v>1.3463647058823529</v>
      </c>
      <c r="G264" s="22">
        <f t="shared" si="15"/>
        <v>1.6829558823529411</v>
      </c>
      <c r="I264" s="4">
        <v>68</v>
      </c>
      <c r="J264" s="22">
        <f t="shared" si="16"/>
        <v>1.0097735294117647</v>
      </c>
      <c r="K264" s="22">
        <f t="shared" si="17"/>
        <v>1.3463647058823529</v>
      </c>
      <c r="L264" s="22">
        <f t="shared" si="18"/>
        <v>1.6829558823529411</v>
      </c>
      <c r="R264" s="4">
        <v>68</v>
      </c>
      <c r="S264" s="22">
        <f t="shared" si="35"/>
        <v>5.0000000000000003E-10</v>
      </c>
      <c r="T264" s="22">
        <f t="shared" si="36"/>
        <v>5.0000000000000003E-10</v>
      </c>
      <c r="U264" s="22">
        <f t="shared" si="37"/>
        <v>5.0000000000000003E-10</v>
      </c>
      <c r="V264" s="22">
        <f t="shared" ca="1" si="38"/>
        <v>11.866326424982322</v>
      </c>
    </row>
    <row r="265" spans="2:22">
      <c r="B265">
        <f t="shared" si="40"/>
        <v>91.965199999999996</v>
      </c>
      <c r="D265" s="4">
        <v>69</v>
      </c>
      <c r="E265" s="22">
        <f t="shared" si="14"/>
        <v>0.99962173913043473</v>
      </c>
      <c r="F265" s="22">
        <f t="shared" si="39"/>
        <v>1.3328289855072464</v>
      </c>
      <c r="G265" s="22">
        <f t="shared" si="15"/>
        <v>1.666036231884058</v>
      </c>
      <c r="I265" s="4">
        <v>69</v>
      </c>
      <c r="J265" s="22">
        <f t="shared" si="16"/>
        <v>0.99962173913043473</v>
      </c>
      <c r="K265" s="22">
        <f t="shared" si="17"/>
        <v>1.3328289855072464</v>
      </c>
      <c r="L265" s="22">
        <f t="shared" si="18"/>
        <v>1.666036231884058</v>
      </c>
      <c r="R265" s="4">
        <v>69</v>
      </c>
      <c r="S265" s="22">
        <f t="shared" si="35"/>
        <v>5.0000000000000003E-10</v>
      </c>
      <c r="T265" s="22">
        <f t="shared" si="36"/>
        <v>5.0000000000000003E-10</v>
      </c>
      <c r="U265" s="22">
        <f t="shared" si="37"/>
        <v>5.0000000000000003E-10</v>
      </c>
      <c r="V265" s="22">
        <f t="shared" ca="1" si="38"/>
        <v>11.694350679692723</v>
      </c>
    </row>
    <row r="266" spans="2:22">
      <c r="B266">
        <f t="shared" si="40"/>
        <v>92.377599999999987</v>
      </c>
      <c r="D266" s="4">
        <v>70</v>
      </c>
      <c r="E266" s="22">
        <f t="shared" si="14"/>
        <v>0.98975999999999975</v>
      </c>
      <c r="F266" s="22">
        <f t="shared" si="39"/>
        <v>1.3196799999999997</v>
      </c>
      <c r="G266" s="22">
        <f t="shared" si="15"/>
        <v>1.6495999999999997</v>
      </c>
      <c r="I266" s="4">
        <v>70</v>
      </c>
      <c r="J266" s="22">
        <f t="shared" si="16"/>
        <v>0.98975999999999975</v>
      </c>
      <c r="K266" s="22">
        <f t="shared" si="17"/>
        <v>1.3196799999999997</v>
      </c>
      <c r="L266" s="22">
        <f t="shared" si="18"/>
        <v>1.6495999999999997</v>
      </c>
      <c r="R266" s="4">
        <v>70</v>
      </c>
      <c r="S266" s="22">
        <f t="shared" si="35"/>
        <v>5.0000000000000003E-10</v>
      </c>
      <c r="T266" s="22">
        <f t="shared" si="36"/>
        <v>5.0000000000000003E-10</v>
      </c>
      <c r="U266" s="22">
        <f t="shared" si="37"/>
        <v>5.0000000000000003E-10</v>
      </c>
      <c r="V266" s="22">
        <f t="shared" ca="1" si="38"/>
        <v>11.527288527125686</v>
      </c>
    </row>
    <row r="267" spans="2:22">
      <c r="B267">
        <f t="shared" si="40"/>
        <v>92.789999999999992</v>
      </c>
      <c r="D267" s="4">
        <v>71</v>
      </c>
      <c r="E267" s="22">
        <f t="shared" si="14"/>
        <v>0.98017605633802796</v>
      </c>
      <c r="F267" s="22">
        <f t="shared" si="39"/>
        <v>1.306901408450704</v>
      </c>
      <c r="G267" s="22">
        <f t="shared" si="15"/>
        <v>1.6336267605633801</v>
      </c>
      <c r="I267" s="4">
        <v>71</v>
      </c>
      <c r="J267" s="22">
        <f t="shared" si="16"/>
        <v>0.98017605633802796</v>
      </c>
      <c r="K267" s="22">
        <f t="shared" si="17"/>
        <v>1.306901408450704</v>
      </c>
      <c r="L267" s="22">
        <f t="shared" si="18"/>
        <v>1.6336267605633801</v>
      </c>
      <c r="R267" s="4">
        <v>71</v>
      </c>
      <c r="S267" s="22">
        <f t="shared" si="35"/>
        <v>5.0000000000000003E-10</v>
      </c>
      <c r="T267" s="22">
        <f t="shared" si="36"/>
        <v>5.0000000000000003E-10</v>
      </c>
      <c r="U267" s="22">
        <f t="shared" si="37"/>
        <v>5.0000000000000003E-10</v>
      </c>
      <c r="V267" s="22">
        <f t="shared" ca="1" si="38"/>
        <v>11.364932350687296</v>
      </c>
    </row>
    <row r="268" spans="2:22">
      <c r="B268">
        <f t="shared" si="40"/>
        <v>93.202400000000011</v>
      </c>
      <c r="D268" s="4">
        <v>72</v>
      </c>
      <c r="E268" s="22">
        <f t="shared" si="14"/>
        <v>0.97085833333333338</v>
      </c>
      <c r="F268" s="22">
        <f t="shared" si="39"/>
        <v>1.2944777777777778</v>
      </c>
      <c r="G268" s="22">
        <f t="shared" si="15"/>
        <v>1.6180972222222223</v>
      </c>
      <c r="I268" s="4">
        <v>72</v>
      </c>
      <c r="J268" s="22">
        <f t="shared" si="16"/>
        <v>0.97085833333333338</v>
      </c>
      <c r="K268" s="22">
        <f t="shared" si="17"/>
        <v>1.2944777777777778</v>
      </c>
      <c r="L268" s="22">
        <f t="shared" si="18"/>
        <v>1.6180972222222223</v>
      </c>
      <c r="R268" s="4">
        <v>72</v>
      </c>
      <c r="S268" s="22">
        <f t="shared" si="35"/>
        <v>5.0000000000000003E-10</v>
      </c>
      <c r="T268" s="22">
        <f t="shared" si="36"/>
        <v>5.0000000000000003E-10</v>
      </c>
      <c r="U268" s="22">
        <f t="shared" si="37"/>
        <v>5.0000000000000003E-10</v>
      </c>
      <c r="V268" s="22">
        <f t="shared" ca="1" si="38"/>
        <v>11.20708606803886</v>
      </c>
    </row>
    <row r="269" spans="2:22">
      <c r="B269">
        <f t="shared" si="40"/>
        <v>93.614799999999988</v>
      </c>
      <c r="D269" s="4">
        <v>73</v>
      </c>
      <c r="E269" s="22">
        <f t="shared" si="14"/>
        <v>0.9617958904109587</v>
      </c>
      <c r="F269" s="22">
        <f t="shared" si="39"/>
        <v>1.282394520547945</v>
      </c>
      <c r="G269" s="22">
        <f t="shared" si="15"/>
        <v>1.6029931506849313</v>
      </c>
      <c r="I269" s="4">
        <v>73</v>
      </c>
      <c r="J269" s="22">
        <f t="shared" si="16"/>
        <v>0.9617958904109587</v>
      </c>
      <c r="K269" s="22">
        <f t="shared" si="17"/>
        <v>1.282394520547945</v>
      </c>
      <c r="L269" s="22">
        <f t="shared" si="18"/>
        <v>1.6029931506849313</v>
      </c>
      <c r="R269" s="4">
        <v>73</v>
      </c>
      <c r="S269" s="22">
        <f t="shared" si="35"/>
        <v>5.0000000000000003E-10</v>
      </c>
      <c r="T269" s="22">
        <f t="shared" si="36"/>
        <v>5.0000000000000003E-10</v>
      </c>
      <c r="U269" s="22">
        <f t="shared" si="37"/>
        <v>5.0000000000000003E-10</v>
      </c>
      <c r="V269" s="22">
        <f t="shared" ca="1" si="38"/>
        <v>11.053564341079424</v>
      </c>
    </row>
    <row r="270" spans="2:22">
      <c r="B270">
        <f t="shared" si="40"/>
        <v>94.027199999999993</v>
      </c>
      <c r="D270" s="4">
        <v>74</v>
      </c>
      <c r="E270" s="22">
        <f t="shared" si="14"/>
        <v>0.95297837837837829</v>
      </c>
      <c r="F270" s="22">
        <f t="shared" si="39"/>
        <v>1.2706378378378378</v>
      </c>
      <c r="G270" s="22">
        <f t="shared" si="15"/>
        <v>1.5882972972972973</v>
      </c>
      <c r="I270" s="4">
        <v>74</v>
      </c>
      <c r="J270" s="22">
        <f t="shared" si="16"/>
        <v>0.95297837837837829</v>
      </c>
      <c r="K270" s="22">
        <f t="shared" si="17"/>
        <v>1.2706378378378378</v>
      </c>
      <c r="L270" s="22">
        <f t="shared" si="18"/>
        <v>1.5882972972972973</v>
      </c>
      <c r="R270" s="4">
        <v>74</v>
      </c>
      <c r="S270" s="22">
        <f t="shared" si="35"/>
        <v>5.0000000000000003E-10</v>
      </c>
      <c r="T270" s="22">
        <f t="shared" si="36"/>
        <v>5.0000000000000003E-10</v>
      </c>
      <c r="U270" s="22">
        <f t="shared" si="37"/>
        <v>5.0000000000000003E-10</v>
      </c>
      <c r="V270" s="22">
        <f t="shared" ca="1" si="38"/>
        <v>10.904191849983755</v>
      </c>
    </row>
    <row r="271" spans="2:22">
      <c r="B271">
        <f t="shared" si="40"/>
        <v>94.439599999999984</v>
      </c>
      <c r="D271" s="4">
        <v>75</v>
      </c>
      <c r="E271" s="22">
        <f t="shared" si="14"/>
        <v>0.94439599999999979</v>
      </c>
      <c r="F271" s="22">
        <f t="shared" si="39"/>
        <v>1.2591946666666665</v>
      </c>
      <c r="G271" s="22">
        <f t="shared" si="15"/>
        <v>1.5739933333333331</v>
      </c>
      <c r="I271" s="4">
        <v>75</v>
      </c>
      <c r="J271" s="22">
        <f t="shared" si="16"/>
        <v>0.94439599999999979</v>
      </c>
      <c r="K271" s="22">
        <f t="shared" si="17"/>
        <v>1.2591946666666665</v>
      </c>
      <c r="L271" s="22">
        <f t="shared" si="18"/>
        <v>1.5739933333333331</v>
      </c>
      <c r="R271" s="4">
        <v>75</v>
      </c>
      <c r="S271" s="22">
        <f t="shared" si="35"/>
        <v>5.0000000000000003E-10</v>
      </c>
      <c r="T271" s="22">
        <f t="shared" si="36"/>
        <v>5.0000000000000003E-10</v>
      </c>
      <c r="U271" s="22">
        <f t="shared" si="37"/>
        <v>5.0000000000000003E-10</v>
      </c>
      <c r="V271" s="22">
        <f t="shared" ca="1" si="38"/>
        <v>10.758802625317307</v>
      </c>
    </row>
    <row r="272" spans="2:22">
      <c r="B272">
        <f t="shared" si="40"/>
        <v>94.85199999999999</v>
      </c>
      <c r="D272" s="4">
        <v>76</v>
      </c>
      <c r="E272" s="22">
        <f t="shared" si="14"/>
        <v>0.93603947368421048</v>
      </c>
      <c r="F272" s="22">
        <f t="shared" si="39"/>
        <v>1.2480526315789473</v>
      </c>
      <c r="G272" s="22">
        <f t="shared" si="15"/>
        <v>1.560065789473684</v>
      </c>
      <c r="I272" s="4">
        <v>76</v>
      </c>
      <c r="J272" s="22">
        <f t="shared" si="16"/>
        <v>0.93603947368421048</v>
      </c>
      <c r="K272" s="22">
        <f t="shared" si="17"/>
        <v>1.2480526315789473</v>
      </c>
      <c r="L272" s="22">
        <f t="shared" si="18"/>
        <v>1.560065789473684</v>
      </c>
      <c r="R272" s="4">
        <v>76</v>
      </c>
      <c r="S272" s="22">
        <f t="shared" si="35"/>
        <v>5.0000000000000003E-10</v>
      </c>
      <c r="T272" s="22">
        <f t="shared" si="36"/>
        <v>5.0000000000000003E-10</v>
      </c>
      <c r="U272" s="22">
        <f t="shared" si="37"/>
        <v>5.0000000000000003E-10</v>
      </c>
      <c r="V272" s="22">
        <f t="shared" ca="1" si="38"/>
        <v>10.61723943287892</v>
      </c>
    </row>
    <row r="273" spans="2:22">
      <c r="B273">
        <f t="shared" si="40"/>
        <v>95.264399999999995</v>
      </c>
      <c r="D273" s="4">
        <v>77</v>
      </c>
      <c r="E273" s="22">
        <f t="shared" si="14"/>
        <v>0.92789999999999995</v>
      </c>
      <c r="F273" s="22">
        <f t="shared" si="39"/>
        <v>1.2371999999999999</v>
      </c>
      <c r="G273" s="22">
        <f t="shared" si="15"/>
        <v>1.5464999999999998</v>
      </c>
      <c r="I273" s="4">
        <v>77</v>
      </c>
      <c r="J273" s="22">
        <f t="shared" si="16"/>
        <v>0.92789999999999995</v>
      </c>
      <c r="K273" s="22">
        <f t="shared" si="17"/>
        <v>1.2371999999999999</v>
      </c>
      <c r="L273" s="22">
        <f t="shared" si="18"/>
        <v>1.5464999999999998</v>
      </c>
      <c r="R273" s="4">
        <v>77</v>
      </c>
      <c r="S273" s="22">
        <f t="shared" si="35"/>
        <v>5.0000000000000003E-10</v>
      </c>
      <c r="T273" s="22">
        <f t="shared" si="36"/>
        <v>5.0000000000000003E-10</v>
      </c>
      <c r="U273" s="22">
        <f t="shared" si="37"/>
        <v>5.0000000000000003E-10</v>
      </c>
      <c r="V273" s="22">
        <f t="shared" ca="1" si="38"/>
        <v>10.479353206477896</v>
      </c>
    </row>
    <row r="274" spans="2:22">
      <c r="B274">
        <f t="shared" si="40"/>
        <v>95.676799999999986</v>
      </c>
      <c r="D274" s="4">
        <v>78</v>
      </c>
      <c r="E274" s="22">
        <f t="shared" si="14"/>
        <v>0.91996923076923065</v>
      </c>
      <c r="F274" s="22">
        <f t="shared" si="39"/>
        <v>1.2266256410256409</v>
      </c>
      <c r="G274" s="22">
        <f t="shared" si="15"/>
        <v>1.5332820512820511</v>
      </c>
      <c r="I274" s="4">
        <v>78</v>
      </c>
      <c r="J274" s="22">
        <f t="shared" si="16"/>
        <v>0.91996923076923065</v>
      </c>
      <c r="K274" s="22">
        <f t="shared" si="17"/>
        <v>1.2266256410256409</v>
      </c>
      <c r="L274" s="22">
        <f t="shared" si="18"/>
        <v>1.5332820512820511</v>
      </c>
      <c r="R274" s="4">
        <v>78</v>
      </c>
      <c r="S274" s="22">
        <f t="shared" si="35"/>
        <v>5.0000000000000003E-10</v>
      </c>
      <c r="T274" s="22">
        <f t="shared" si="36"/>
        <v>5.0000000000000003E-10</v>
      </c>
      <c r="U274" s="22">
        <f t="shared" si="37"/>
        <v>5.0000000000000003E-10</v>
      </c>
      <c r="V274" s="22">
        <f t="shared" ca="1" si="38"/>
        <v>10.345002524343563</v>
      </c>
    </row>
    <row r="275" spans="2:22">
      <c r="B275">
        <f t="shared" si="40"/>
        <v>96.089200000000005</v>
      </c>
      <c r="D275" s="4">
        <v>79</v>
      </c>
      <c r="E275" s="22">
        <f t="shared" si="14"/>
        <v>0.9122392405063291</v>
      </c>
      <c r="F275" s="22">
        <f t="shared" si="39"/>
        <v>1.2163189873417721</v>
      </c>
      <c r="G275" s="22">
        <f t="shared" si="15"/>
        <v>1.5203987341772152</v>
      </c>
      <c r="I275" s="4">
        <v>79</v>
      </c>
      <c r="J275" s="22">
        <f t="shared" si="16"/>
        <v>0.9122392405063291</v>
      </c>
      <c r="K275" s="22">
        <f t="shared" si="17"/>
        <v>1.2163189873417721</v>
      </c>
      <c r="L275" s="22">
        <f t="shared" si="18"/>
        <v>1.5203987341772152</v>
      </c>
      <c r="R275" s="4">
        <v>79</v>
      </c>
      <c r="S275" s="22">
        <f t="shared" si="35"/>
        <v>5.0000000000000003E-10</v>
      </c>
      <c r="T275" s="22">
        <f t="shared" si="36"/>
        <v>5.0000000000000003E-10</v>
      </c>
      <c r="U275" s="22">
        <f t="shared" si="37"/>
        <v>5.0000000000000003E-10</v>
      </c>
      <c r="V275" s="22">
        <f t="shared" ca="1" si="38"/>
        <v>10.214053125301239</v>
      </c>
    </row>
    <row r="276" spans="2:22">
      <c r="B276">
        <f t="shared" si="40"/>
        <v>96.501599999999996</v>
      </c>
      <c r="D276" s="4">
        <v>80</v>
      </c>
      <c r="E276" s="22">
        <f t="shared" si="14"/>
        <v>0.90470249999999997</v>
      </c>
      <c r="F276" s="22">
        <f t="shared" si="39"/>
        <v>1.20627</v>
      </c>
      <c r="G276" s="22">
        <f t="shared" si="15"/>
        <v>1.5078374999999999</v>
      </c>
      <c r="I276" s="4">
        <v>80</v>
      </c>
      <c r="J276" s="22">
        <f t="shared" si="16"/>
        <v>0.90470249999999997</v>
      </c>
      <c r="K276" s="22">
        <f t="shared" si="17"/>
        <v>1.20627</v>
      </c>
      <c r="L276" s="22">
        <f t="shared" si="18"/>
        <v>1.5078374999999999</v>
      </c>
      <c r="R276" s="4">
        <v>80</v>
      </c>
      <c r="S276" s="22">
        <f t="shared" si="35"/>
        <v>5.0000000000000003E-10</v>
      </c>
      <c r="T276" s="22">
        <f t="shared" si="36"/>
        <v>5.0000000000000003E-10</v>
      </c>
      <c r="U276" s="22">
        <f t="shared" si="37"/>
        <v>5.0000000000000003E-10</v>
      </c>
      <c r="V276" s="22">
        <f t="shared" ca="1" si="38"/>
        <v>10.086377461234974</v>
      </c>
    </row>
    <row r="277" spans="2:22">
      <c r="D277" s="1"/>
      <c r="E277" s="16"/>
      <c r="F277" s="16"/>
      <c r="G277" s="16"/>
      <c r="I277" s="1"/>
      <c r="J277" s="16"/>
      <c r="K277" s="16"/>
      <c r="L277" s="16"/>
    </row>
    <row r="279" spans="2:22">
      <c r="D279" s="25" t="s">
        <v>301</v>
      </c>
    </row>
    <row r="281" spans="2:22">
      <c r="D281" s="25" t="s">
        <v>302</v>
      </c>
      <c r="E281">
        <f>'Device Parameters'!E12</f>
        <v>1E-3</v>
      </c>
    </row>
    <row r="282" spans="2:22">
      <c r="D282" s="25" t="s">
        <v>303</v>
      </c>
      <c r="E282">
        <f>RsEFF*0.001</f>
        <v>2.4248302618816685E-3</v>
      </c>
    </row>
    <row r="283" spans="2:22">
      <c r="D283" s="25" t="s">
        <v>304</v>
      </c>
      <c r="E283">
        <f>VINMAX</f>
        <v>22</v>
      </c>
    </row>
    <row r="284" spans="2:22">
      <c r="D284" s="25" t="s">
        <v>305</v>
      </c>
      <c r="E284" s="1"/>
      <c r="F284">
        <v>0.25</v>
      </c>
    </row>
    <row r="286" spans="2:22">
      <c r="D286" s="124" t="s">
        <v>266</v>
      </c>
    </row>
  </sheetData>
  <mergeCells count="3">
    <mergeCell ref="D54:G54"/>
    <mergeCell ref="D63:G63"/>
    <mergeCell ref="D78:H78"/>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56473-A377-404B-9C33-865A97CA60A2}">
  <sheetPr codeName="Sheet7"/>
  <dimension ref="B4:BX89"/>
  <sheetViews>
    <sheetView zoomScale="70" zoomScaleNormal="70" workbookViewId="0">
      <selection activeCell="J4" sqref="J4"/>
    </sheetView>
  </sheetViews>
  <sheetFormatPr baseColWidth="10" defaultColWidth="8.83203125" defaultRowHeight="13"/>
  <cols>
    <col min="2" max="2" width="27.6640625" customWidth="1"/>
    <col min="3" max="3" width="15.6640625" customWidth="1"/>
    <col min="6" max="6" width="27.6640625" customWidth="1"/>
    <col min="7" max="7" width="15.6640625" customWidth="1"/>
    <col min="10" max="10" width="27.6640625" customWidth="1"/>
    <col min="11" max="11" width="15.6640625" customWidth="1"/>
    <col min="14" max="14" width="27.6640625" customWidth="1"/>
    <col min="15" max="15" width="15.6640625" customWidth="1"/>
    <col min="18" max="18" width="27.6640625" customWidth="1"/>
    <col min="19" max="19" width="15.6640625" customWidth="1"/>
    <col min="22" max="22" width="27.6640625" customWidth="1"/>
    <col min="23" max="23" width="15.6640625" customWidth="1"/>
    <col min="26" max="26" width="27.6640625" customWidth="1"/>
    <col min="27" max="27" width="15.6640625" customWidth="1"/>
    <col min="30" max="30" width="27.6640625" customWidth="1"/>
    <col min="31" max="31" width="15.6640625" customWidth="1"/>
    <col min="34" max="34" width="27.6640625" customWidth="1"/>
    <col min="35" max="35" width="15.6640625" customWidth="1"/>
    <col min="38" max="38" width="27.6640625" customWidth="1"/>
    <col min="39" max="39" width="15.6640625" customWidth="1"/>
    <col min="42" max="42" width="27.6640625" customWidth="1"/>
    <col min="43" max="43" width="15.6640625" customWidth="1"/>
    <col min="46" max="46" width="27.6640625" customWidth="1"/>
    <col min="47" max="47" width="15.6640625" customWidth="1"/>
    <col min="50" max="50" width="27.6640625" customWidth="1"/>
    <col min="51" max="51" width="15.6640625" customWidth="1"/>
    <col min="54" max="54" width="27.6640625" customWidth="1"/>
    <col min="55" max="55" width="15.6640625" customWidth="1"/>
    <col min="58" max="58" width="27.6640625" customWidth="1"/>
    <col min="59" max="59" width="15.6640625" customWidth="1"/>
    <col min="62" max="62" width="27.6640625" customWidth="1"/>
    <col min="63" max="63" width="15.6640625" customWidth="1"/>
    <col min="66" max="66" width="27.6640625" customWidth="1"/>
    <col min="67" max="67" width="15.6640625" customWidth="1"/>
    <col min="70" max="70" width="27.6640625" customWidth="1"/>
    <col min="71" max="71" width="15.6640625" customWidth="1"/>
    <col min="74" max="74" width="27.6640625" customWidth="1"/>
    <col min="75" max="75" width="15.6640625" customWidth="1"/>
    <col min="78" max="78" width="27.6640625" customWidth="1"/>
    <col min="79" max="79" width="15.6640625" customWidth="1"/>
    <col min="82" max="82" width="27.6640625" customWidth="1"/>
    <col min="83" max="83" width="15.6640625" customWidth="1"/>
    <col min="86" max="86" width="27.6640625" customWidth="1"/>
    <col min="87" max="87" width="15.6640625" customWidth="1"/>
    <col min="90" max="90" width="27.6640625" customWidth="1"/>
    <col min="91" max="91" width="15.6640625" customWidth="1"/>
    <col min="94" max="94" width="27.6640625" customWidth="1"/>
    <col min="95" max="95" width="15.6640625" customWidth="1"/>
    <col min="98" max="98" width="27.6640625" customWidth="1"/>
    <col min="99" max="99" width="15.6640625" customWidth="1"/>
    <col min="102" max="102" width="27.6640625" customWidth="1"/>
    <col min="103" max="103" width="15.6640625" customWidth="1"/>
    <col min="106" max="106" width="27.6640625" customWidth="1"/>
    <col min="107" max="107" width="15.6640625" customWidth="1"/>
    <col min="110" max="110" width="27.6640625" customWidth="1"/>
    <col min="111" max="111" width="15.6640625" customWidth="1"/>
    <col min="114" max="114" width="27.6640625" customWidth="1"/>
    <col min="115" max="115" width="15.6640625" customWidth="1"/>
  </cols>
  <sheetData>
    <row r="4" spans="2:76">
      <c r="B4" s="25" t="str">
        <f>'Design Calculator'!H54</f>
        <v>NON-TI MOSFET</v>
      </c>
      <c r="C4">
        <v>1</v>
      </c>
      <c r="F4" s="25" t="s">
        <v>484</v>
      </c>
      <c r="G4">
        <v>2</v>
      </c>
      <c r="J4" s="25" t="s">
        <v>485</v>
      </c>
      <c r="K4">
        <v>3</v>
      </c>
      <c r="N4" s="25" t="s">
        <v>486</v>
      </c>
      <c r="O4">
        <v>4</v>
      </c>
      <c r="R4" s="25" t="s">
        <v>487</v>
      </c>
      <c r="S4">
        <v>5</v>
      </c>
      <c r="V4" s="25" t="s">
        <v>488</v>
      </c>
      <c r="W4">
        <v>6</v>
      </c>
      <c r="Z4" s="25" t="s">
        <v>489</v>
      </c>
      <c r="AA4">
        <v>7</v>
      </c>
      <c r="AD4" s="25" t="s">
        <v>490</v>
      </c>
      <c r="AE4">
        <v>8</v>
      </c>
      <c r="AH4" s="25" t="s">
        <v>491</v>
      </c>
      <c r="AI4">
        <v>9</v>
      </c>
      <c r="AL4" s="25" t="s">
        <v>492</v>
      </c>
      <c r="AM4">
        <v>10</v>
      </c>
      <c r="AP4" s="25" t="s">
        <v>493</v>
      </c>
      <c r="AQ4">
        <v>11</v>
      </c>
      <c r="AT4" s="25" t="s">
        <v>494</v>
      </c>
      <c r="AU4">
        <v>12</v>
      </c>
      <c r="AX4" s="25" t="s">
        <v>495</v>
      </c>
      <c r="AY4">
        <v>13</v>
      </c>
      <c r="BB4" s="25" t="s">
        <v>496</v>
      </c>
      <c r="BC4">
        <v>14</v>
      </c>
      <c r="BF4" s="25" t="s">
        <v>497</v>
      </c>
      <c r="BG4">
        <v>15</v>
      </c>
      <c r="BJ4" s="25" t="s">
        <v>498</v>
      </c>
      <c r="BK4">
        <v>16</v>
      </c>
      <c r="BN4" s="25" t="s">
        <v>499</v>
      </c>
      <c r="BO4">
        <v>17</v>
      </c>
      <c r="BR4" s="25" t="s">
        <v>500</v>
      </c>
      <c r="BS4">
        <v>18</v>
      </c>
      <c r="BV4" s="25" t="s">
        <v>501</v>
      </c>
      <c r="BW4">
        <v>19</v>
      </c>
    </row>
    <row r="5" spans="2:76">
      <c r="B5" s="25" t="s">
        <v>455</v>
      </c>
      <c r="C5" s="25" t="s">
        <v>588</v>
      </c>
      <c r="F5" s="25" t="s">
        <v>455</v>
      </c>
      <c r="G5" s="232" t="s">
        <v>532</v>
      </c>
      <c r="J5" s="25" t="s">
        <v>455</v>
      </c>
      <c r="K5" s="232" t="s">
        <v>534</v>
      </c>
      <c r="N5" s="25" t="s">
        <v>455</v>
      </c>
      <c r="O5" s="232" t="s">
        <v>536</v>
      </c>
      <c r="R5" s="25" t="s">
        <v>455</v>
      </c>
      <c r="S5" s="232" t="s">
        <v>538</v>
      </c>
      <c r="V5" s="25" t="s">
        <v>455</v>
      </c>
      <c r="W5" s="232" t="s">
        <v>540</v>
      </c>
      <c r="Z5" s="25" t="s">
        <v>455</v>
      </c>
      <c r="AA5" s="232" t="s">
        <v>542</v>
      </c>
      <c r="AD5" s="25" t="s">
        <v>455</v>
      </c>
      <c r="AE5" s="232" t="s">
        <v>544</v>
      </c>
      <c r="AH5" s="25" t="s">
        <v>455</v>
      </c>
      <c r="AI5" s="232" t="s">
        <v>546</v>
      </c>
      <c r="AL5" s="25" t="s">
        <v>455</v>
      </c>
      <c r="AM5" s="232" t="s">
        <v>548</v>
      </c>
      <c r="AP5" s="25" t="s">
        <v>455</v>
      </c>
      <c r="AQ5" s="232" t="s">
        <v>550</v>
      </c>
      <c r="AT5" s="25" t="s">
        <v>455</v>
      </c>
      <c r="AU5" s="232" t="s">
        <v>552</v>
      </c>
      <c r="AX5" s="25" t="s">
        <v>455</v>
      </c>
      <c r="AY5" s="232" t="s">
        <v>554</v>
      </c>
      <c r="BB5" s="25" t="s">
        <v>455</v>
      </c>
      <c r="BC5" s="232" t="s">
        <v>556</v>
      </c>
      <c r="BF5" s="25" t="s">
        <v>455</v>
      </c>
      <c r="BG5" s="232" t="s">
        <v>558</v>
      </c>
      <c r="BJ5" s="25" t="s">
        <v>455</v>
      </c>
      <c r="BK5" s="232" t="s">
        <v>560</v>
      </c>
      <c r="BN5" s="25" t="s">
        <v>455</v>
      </c>
      <c r="BO5" s="232" t="s">
        <v>563</v>
      </c>
      <c r="BR5" s="25" t="s">
        <v>455</v>
      </c>
      <c r="BS5" s="232" t="s">
        <v>564</v>
      </c>
      <c r="BV5" s="25" t="s">
        <v>455</v>
      </c>
      <c r="BW5" s="232" t="s">
        <v>566</v>
      </c>
    </row>
    <row r="6" spans="2:76" ht="14">
      <c r="B6" s="25" t="s">
        <v>457</v>
      </c>
      <c r="C6">
        <f>'Design Calculator'!H56</f>
        <v>175</v>
      </c>
      <c r="D6" s="25" t="s">
        <v>456</v>
      </c>
      <c r="F6" s="25" t="s">
        <v>457</v>
      </c>
      <c r="G6">
        <v>175</v>
      </c>
      <c r="H6" s="25" t="s">
        <v>456</v>
      </c>
      <c r="J6" s="25" t="s">
        <v>457</v>
      </c>
      <c r="K6">
        <v>175</v>
      </c>
      <c r="L6" s="25" t="s">
        <v>456</v>
      </c>
      <c r="N6" s="25" t="s">
        <v>457</v>
      </c>
      <c r="O6">
        <v>175</v>
      </c>
      <c r="P6" s="25" t="s">
        <v>456</v>
      </c>
      <c r="R6" s="25" t="s">
        <v>457</v>
      </c>
      <c r="S6">
        <v>175</v>
      </c>
      <c r="T6" s="25" t="s">
        <v>456</v>
      </c>
      <c r="V6" s="25" t="s">
        <v>457</v>
      </c>
      <c r="W6">
        <v>175</v>
      </c>
      <c r="X6" s="25" t="s">
        <v>456</v>
      </c>
      <c r="Z6" s="25" t="s">
        <v>457</v>
      </c>
      <c r="AA6">
        <v>150</v>
      </c>
      <c r="AB6" s="25" t="s">
        <v>456</v>
      </c>
      <c r="AD6" s="25" t="s">
        <v>457</v>
      </c>
      <c r="AE6" s="2">
        <v>150</v>
      </c>
      <c r="AF6" s="25" t="s">
        <v>456</v>
      </c>
      <c r="AH6" s="25" t="s">
        <v>457</v>
      </c>
      <c r="AI6">
        <v>175</v>
      </c>
      <c r="AJ6" s="25" t="s">
        <v>456</v>
      </c>
      <c r="AL6" s="25" t="s">
        <v>457</v>
      </c>
      <c r="AM6">
        <v>150</v>
      </c>
      <c r="AN6" s="25" t="s">
        <v>456</v>
      </c>
      <c r="AP6" s="25" t="s">
        <v>457</v>
      </c>
      <c r="AQ6">
        <v>175</v>
      </c>
      <c r="AR6" s="25" t="s">
        <v>456</v>
      </c>
      <c r="AT6" s="25" t="s">
        <v>457</v>
      </c>
      <c r="AU6">
        <v>150</v>
      </c>
      <c r="AV6" s="25" t="s">
        <v>456</v>
      </c>
      <c r="AX6" s="25" t="s">
        <v>457</v>
      </c>
      <c r="AY6">
        <v>150</v>
      </c>
      <c r="AZ6" s="25" t="s">
        <v>456</v>
      </c>
      <c r="BB6" s="25" t="s">
        <v>457</v>
      </c>
      <c r="BC6">
        <v>175</v>
      </c>
      <c r="BD6" s="25" t="s">
        <v>456</v>
      </c>
      <c r="BF6" s="25" t="s">
        <v>457</v>
      </c>
      <c r="BG6">
        <v>150</v>
      </c>
      <c r="BH6" s="25" t="s">
        <v>456</v>
      </c>
      <c r="BJ6" s="25" t="s">
        <v>457</v>
      </c>
      <c r="BK6">
        <v>175</v>
      </c>
      <c r="BL6" s="25" t="s">
        <v>456</v>
      </c>
      <c r="BN6" s="25" t="s">
        <v>457</v>
      </c>
      <c r="BO6">
        <v>150</v>
      </c>
      <c r="BP6" s="25" t="s">
        <v>456</v>
      </c>
      <c r="BR6" s="25" t="s">
        <v>457</v>
      </c>
      <c r="BS6">
        <v>150</v>
      </c>
      <c r="BT6" s="25" t="s">
        <v>456</v>
      </c>
      <c r="BV6" s="25" t="s">
        <v>457</v>
      </c>
      <c r="BW6">
        <v>150</v>
      </c>
      <c r="BX6" s="25" t="s">
        <v>456</v>
      </c>
    </row>
    <row r="7" spans="2:76" ht="14">
      <c r="B7" s="25" t="s">
        <v>458</v>
      </c>
      <c r="C7">
        <f>'Design Calculator'!H55</f>
        <v>2</v>
      </c>
      <c r="D7" s="25" t="s">
        <v>459</v>
      </c>
      <c r="F7" s="25" t="s">
        <v>458</v>
      </c>
      <c r="G7">
        <v>1.6</v>
      </c>
      <c r="H7" s="25" t="s">
        <v>459</v>
      </c>
      <c r="J7" s="25" t="s">
        <v>458</v>
      </c>
      <c r="K7">
        <v>2</v>
      </c>
      <c r="L7" s="25" t="s">
        <v>459</v>
      </c>
      <c r="N7" s="25" t="s">
        <v>458</v>
      </c>
      <c r="O7">
        <v>2.2000000000000002</v>
      </c>
      <c r="P7" s="25" t="s">
        <v>459</v>
      </c>
      <c r="R7" s="25" t="s">
        <v>458</v>
      </c>
      <c r="S7">
        <v>2.2999999999999998</v>
      </c>
      <c r="T7" s="25" t="s">
        <v>459</v>
      </c>
      <c r="V7" s="25" t="s">
        <v>458</v>
      </c>
      <c r="W7">
        <v>3.1</v>
      </c>
      <c r="X7" s="25" t="s">
        <v>459</v>
      </c>
      <c r="Z7" s="25" t="s">
        <v>458</v>
      </c>
      <c r="AA7">
        <v>3.2</v>
      </c>
      <c r="AB7" s="25" t="s">
        <v>459</v>
      </c>
      <c r="AD7" s="25" t="s">
        <v>458</v>
      </c>
      <c r="AE7">
        <v>3.4</v>
      </c>
      <c r="AF7" s="25" t="s">
        <v>459</v>
      </c>
      <c r="AH7" s="25" t="s">
        <v>458</v>
      </c>
      <c r="AI7">
        <v>4</v>
      </c>
      <c r="AJ7" s="25" t="s">
        <v>459</v>
      </c>
      <c r="AL7" s="25" t="s">
        <v>458</v>
      </c>
      <c r="AM7">
        <v>4.0999999999999996</v>
      </c>
      <c r="AN7" s="25" t="s">
        <v>459</v>
      </c>
      <c r="AP7" s="25" t="s">
        <v>458</v>
      </c>
      <c r="AQ7">
        <v>4.2</v>
      </c>
      <c r="AR7" s="25" t="s">
        <v>459</v>
      </c>
      <c r="AT7" s="25" t="s">
        <v>458</v>
      </c>
      <c r="AU7">
        <v>4.5999999999999996</v>
      </c>
      <c r="AV7" s="25" t="s">
        <v>459</v>
      </c>
      <c r="AX7" s="25" t="s">
        <v>458</v>
      </c>
      <c r="AY7">
        <v>5.9</v>
      </c>
      <c r="AZ7" s="25" t="s">
        <v>459</v>
      </c>
      <c r="BB7" s="25" t="s">
        <v>458</v>
      </c>
      <c r="BC7">
        <v>6.6</v>
      </c>
      <c r="BD7" s="25" t="s">
        <v>459</v>
      </c>
      <c r="BF7" s="25" t="s">
        <v>458</v>
      </c>
      <c r="BG7">
        <v>6.8</v>
      </c>
      <c r="BH7" s="25" t="s">
        <v>459</v>
      </c>
      <c r="BJ7" s="25" t="s">
        <v>458</v>
      </c>
      <c r="BK7">
        <v>9.1999999999999993</v>
      </c>
      <c r="BL7" s="25" t="s">
        <v>459</v>
      </c>
      <c r="BN7" s="25" t="s">
        <v>458</v>
      </c>
      <c r="BO7">
        <v>9.8000000000000007</v>
      </c>
      <c r="BP7" s="25" t="s">
        <v>459</v>
      </c>
      <c r="BR7" s="25" t="s">
        <v>458</v>
      </c>
      <c r="BS7">
        <v>9.9</v>
      </c>
      <c r="BT7" s="25" t="s">
        <v>459</v>
      </c>
      <c r="BV7" s="25" t="s">
        <v>458</v>
      </c>
      <c r="BW7">
        <v>13</v>
      </c>
      <c r="BX7" s="25" t="s">
        <v>459</v>
      </c>
    </row>
    <row r="9" spans="2:76">
      <c r="B9" s="25" t="s">
        <v>460</v>
      </c>
      <c r="F9" s="25" t="s">
        <v>460</v>
      </c>
      <c r="J9" s="25" t="s">
        <v>460</v>
      </c>
      <c r="N9" s="25" t="s">
        <v>460</v>
      </c>
      <c r="R9" s="25" t="s">
        <v>460</v>
      </c>
      <c r="V9" s="25" t="s">
        <v>460</v>
      </c>
      <c r="Z9" s="25" t="s">
        <v>460</v>
      </c>
      <c r="AD9" s="25" t="s">
        <v>460</v>
      </c>
      <c r="AH9" s="25" t="s">
        <v>460</v>
      </c>
      <c r="AL9" s="25" t="s">
        <v>460</v>
      </c>
      <c r="AP9" s="25" t="s">
        <v>460</v>
      </c>
      <c r="AT9" s="25" t="s">
        <v>460</v>
      </c>
      <c r="AX9" s="25" t="s">
        <v>460</v>
      </c>
      <c r="BB9" s="25" t="s">
        <v>460</v>
      </c>
      <c r="BF9" s="25" t="s">
        <v>460</v>
      </c>
      <c r="BJ9" s="25" t="s">
        <v>460</v>
      </c>
      <c r="BN9" s="25" t="s">
        <v>460</v>
      </c>
      <c r="BR9" s="25" t="s">
        <v>460</v>
      </c>
      <c r="BV9" s="25" t="s">
        <v>460</v>
      </c>
    </row>
    <row r="10" spans="2:76">
      <c r="B10" s="25"/>
      <c r="F10" s="25"/>
      <c r="J10" s="25"/>
      <c r="N10" s="25"/>
      <c r="R10" s="25"/>
      <c r="V10" s="25"/>
      <c r="Z10" s="25"/>
      <c r="AD10" s="25"/>
      <c r="AH10" s="25"/>
      <c r="AL10" s="25"/>
      <c r="AP10" s="25"/>
      <c r="AT10" s="25"/>
      <c r="AX10" s="25"/>
      <c r="BB10" s="25"/>
      <c r="BF10" s="25"/>
      <c r="BJ10" s="25"/>
      <c r="BN10" s="25"/>
      <c r="BR10" s="25"/>
      <c r="BV10" s="25"/>
    </row>
    <row r="11" spans="2:76">
      <c r="B11">
        <v>70</v>
      </c>
      <c r="F11">
        <v>70</v>
      </c>
      <c r="G11">
        <v>1.23</v>
      </c>
      <c r="J11">
        <v>70</v>
      </c>
      <c r="K11">
        <v>1.23</v>
      </c>
      <c r="N11">
        <v>70</v>
      </c>
      <c r="O11">
        <v>1.24</v>
      </c>
      <c r="R11">
        <v>70</v>
      </c>
      <c r="S11">
        <v>1.26</v>
      </c>
      <c r="V11">
        <v>70</v>
      </c>
      <c r="W11">
        <v>1.26</v>
      </c>
      <c r="Z11">
        <v>70</v>
      </c>
      <c r="AA11">
        <v>1.33</v>
      </c>
      <c r="AD11">
        <v>70</v>
      </c>
      <c r="AE11">
        <v>1.31</v>
      </c>
      <c r="AH11">
        <v>70</v>
      </c>
      <c r="AI11">
        <v>1.26</v>
      </c>
      <c r="AL11">
        <v>70</v>
      </c>
      <c r="AM11">
        <v>1.28</v>
      </c>
      <c r="AP11">
        <v>70</v>
      </c>
      <c r="AQ11">
        <v>1.27</v>
      </c>
      <c r="AT11">
        <v>70</v>
      </c>
      <c r="AU11">
        <v>1.3</v>
      </c>
      <c r="AX11">
        <v>70</v>
      </c>
      <c r="AY11">
        <v>1.29</v>
      </c>
      <c r="BB11">
        <v>70</v>
      </c>
      <c r="BC11">
        <v>1.27</v>
      </c>
      <c r="BF11">
        <v>70</v>
      </c>
      <c r="BG11">
        <v>1.31</v>
      </c>
      <c r="BJ11">
        <v>70</v>
      </c>
      <c r="BK11">
        <v>1.32</v>
      </c>
      <c r="BN11">
        <v>70</v>
      </c>
      <c r="BO11">
        <v>1.29</v>
      </c>
      <c r="BR11">
        <v>70</v>
      </c>
      <c r="BS11">
        <v>1.27</v>
      </c>
      <c r="BV11">
        <v>70</v>
      </c>
      <c r="BW11">
        <v>1.33</v>
      </c>
    </row>
    <row r="12" spans="2:76">
      <c r="B12">
        <v>75</v>
      </c>
      <c r="F12">
        <v>75</v>
      </c>
      <c r="G12">
        <v>1.26</v>
      </c>
      <c r="J12">
        <v>75</v>
      </c>
      <c r="K12">
        <v>1.26</v>
      </c>
      <c r="N12">
        <v>75</v>
      </c>
      <c r="O12">
        <v>1.26</v>
      </c>
      <c r="R12">
        <v>75</v>
      </c>
      <c r="S12">
        <v>1.29</v>
      </c>
      <c r="V12">
        <v>75</v>
      </c>
      <c r="W12">
        <v>1.29</v>
      </c>
      <c r="Z12">
        <v>75</v>
      </c>
      <c r="AA12">
        <v>1.37</v>
      </c>
      <c r="AD12">
        <v>75</v>
      </c>
      <c r="AE12">
        <v>1.35</v>
      </c>
      <c r="AH12">
        <v>75</v>
      </c>
      <c r="AI12">
        <v>1.3</v>
      </c>
      <c r="AL12">
        <v>75</v>
      </c>
      <c r="AM12">
        <v>1.31</v>
      </c>
      <c r="AP12">
        <v>75</v>
      </c>
      <c r="AQ12">
        <v>1.3</v>
      </c>
      <c r="AT12">
        <v>75</v>
      </c>
      <c r="AU12">
        <v>1.33</v>
      </c>
      <c r="AX12">
        <v>75</v>
      </c>
      <c r="AY12">
        <v>1.33</v>
      </c>
      <c r="BB12">
        <v>75</v>
      </c>
      <c r="BC12">
        <v>1.3</v>
      </c>
      <c r="BF12">
        <v>75</v>
      </c>
      <c r="BG12">
        <v>1.35</v>
      </c>
      <c r="BJ12">
        <v>75</v>
      </c>
      <c r="BK12">
        <v>1.36</v>
      </c>
      <c r="BN12">
        <v>75</v>
      </c>
      <c r="BO12">
        <v>1.32</v>
      </c>
      <c r="BR12">
        <v>75</v>
      </c>
      <c r="BS12">
        <v>1.3</v>
      </c>
      <c r="BV12">
        <v>75</v>
      </c>
      <c r="BW12">
        <v>1.37</v>
      </c>
    </row>
    <row r="13" spans="2:76">
      <c r="B13">
        <v>80</v>
      </c>
      <c r="F13">
        <v>80</v>
      </c>
      <c r="G13">
        <v>1.28</v>
      </c>
      <c r="J13">
        <v>80</v>
      </c>
      <c r="K13">
        <v>1.29</v>
      </c>
      <c r="N13">
        <v>80</v>
      </c>
      <c r="O13">
        <v>1.29</v>
      </c>
      <c r="R13">
        <v>80</v>
      </c>
      <c r="S13">
        <v>1.32</v>
      </c>
      <c r="V13">
        <v>80</v>
      </c>
      <c r="W13">
        <v>1.32</v>
      </c>
      <c r="Z13">
        <v>80</v>
      </c>
      <c r="AA13">
        <v>1.41</v>
      </c>
      <c r="AD13">
        <v>80</v>
      </c>
      <c r="AE13">
        <v>1.39</v>
      </c>
      <c r="AH13">
        <v>80</v>
      </c>
      <c r="AI13">
        <v>1.33</v>
      </c>
      <c r="AL13">
        <v>80</v>
      </c>
      <c r="AM13">
        <v>1.35</v>
      </c>
      <c r="AP13">
        <v>80</v>
      </c>
      <c r="AQ13">
        <v>1.34</v>
      </c>
      <c r="AT13">
        <v>80</v>
      </c>
      <c r="AU13">
        <v>1.36</v>
      </c>
      <c r="AX13">
        <v>80</v>
      </c>
      <c r="AY13">
        <v>1.36</v>
      </c>
      <c r="BB13">
        <v>80</v>
      </c>
      <c r="BC13">
        <v>1.33</v>
      </c>
      <c r="BF13">
        <v>80</v>
      </c>
      <c r="BG13">
        <v>1.39</v>
      </c>
      <c r="BJ13">
        <v>80</v>
      </c>
      <c r="BK13">
        <v>1.41</v>
      </c>
      <c r="BN13">
        <v>80</v>
      </c>
      <c r="BO13">
        <v>1.36</v>
      </c>
      <c r="BR13">
        <v>80</v>
      </c>
      <c r="BS13">
        <v>1.33</v>
      </c>
      <c r="BV13">
        <v>80</v>
      </c>
      <c r="BW13">
        <v>1.41</v>
      </c>
    </row>
    <row r="14" spans="2:76">
      <c r="B14">
        <v>85</v>
      </c>
      <c r="F14">
        <v>85</v>
      </c>
      <c r="G14">
        <v>1.31</v>
      </c>
      <c r="J14">
        <v>85</v>
      </c>
      <c r="K14">
        <v>1.31</v>
      </c>
      <c r="N14">
        <v>85</v>
      </c>
      <c r="O14">
        <v>1.32</v>
      </c>
      <c r="R14">
        <v>85</v>
      </c>
      <c r="S14">
        <v>1.35</v>
      </c>
      <c r="V14">
        <v>85</v>
      </c>
      <c r="W14">
        <v>1.36</v>
      </c>
      <c r="Z14">
        <v>85</v>
      </c>
      <c r="AA14">
        <v>1.46</v>
      </c>
      <c r="AD14">
        <v>85</v>
      </c>
      <c r="AE14">
        <v>1.43</v>
      </c>
      <c r="AH14">
        <v>85</v>
      </c>
      <c r="AI14">
        <v>1.36</v>
      </c>
      <c r="AL14">
        <v>85</v>
      </c>
      <c r="AM14">
        <v>1.38</v>
      </c>
      <c r="AP14">
        <v>85</v>
      </c>
      <c r="AQ14">
        <v>1.37</v>
      </c>
      <c r="AT14">
        <v>85</v>
      </c>
      <c r="AU14">
        <v>1.4</v>
      </c>
      <c r="AX14">
        <v>85</v>
      </c>
      <c r="AY14">
        <v>1.4</v>
      </c>
      <c r="BB14">
        <v>85</v>
      </c>
      <c r="BC14">
        <v>1.37</v>
      </c>
      <c r="BF14">
        <v>85</v>
      </c>
      <c r="BG14">
        <v>1.43</v>
      </c>
      <c r="BJ14">
        <v>85</v>
      </c>
      <c r="BK14">
        <v>1.45</v>
      </c>
      <c r="BN14">
        <v>85</v>
      </c>
      <c r="BO14">
        <v>1.39</v>
      </c>
      <c r="BR14">
        <v>85</v>
      </c>
      <c r="BS14">
        <v>1.36</v>
      </c>
      <c r="BV14">
        <v>85</v>
      </c>
      <c r="BW14">
        <v>1.45</v>
      </c>
    </row>
    <row r="15" spans="2:76">
      <c r="B15">
        <v>90</v>
      </c>
      <c r="F15">
        <v>90</v>
      </c>
      <c r="G15" s="25">
        <v>1.34</v>
      </c>
      <c r="J15">
        <v>90</v>
      </c>
      <c r="K15" s="25">
        <v>1.34</v>
      </c>
      <c r="N15">
        <v>90</v>
      </c>
      <c r="O15" s="25">
        <v>1.35</v>
      </c>
      <c r="R15">
        <v>90</v>
      </c>
      <c r="S15" s="25">
        <v>1.38</v>
      </c>
      <c r="V15">
        <v>90</v>
      </c>
      <c r="W15" s="25">
        <v>1.39</v>
      </c>
      <c r="Z15">
        <v>90</v>
      </c>
      <c r="AA15" s="25">
        <v>1.5</v>
      </c>
      <c r="AD15">
        <v>90</v>
      </c>
      <c r="AE15" s="25">
        <v>1.47</v>
      </c>
      <c r="AH15">
        <v>90</v>
      </c>
      <c r="AI15" s="25">
        <v>1.4</v>
      </c>
      <c r="AL15">
        <v>90</v>
      </c>
      <c r="AM15" s="25">
        <v>1.41</v>
      </c>
      <c r="AP15">
        <v>90</v>
      </c>
      <c r="AQ15" s="25">
        <v>1.4</v>
      </c>
      <c r="AT15">
        <v>90</v>
      </c>
      <c r="AU15" s="25">
        <v>1.43</v>
      </c>
      <c r="AX15">
        <v>90</v>
      </c>
      <c r="AY15" s="25">
        <v>1.43</v>
      </c>
      <c r="BB15">
        <v>90</v>
      </c>
      <c r="BC15" s="25">
        <v>1.4</v>
      </c>
      <c r="BF15">
        <v>90</v>
      </c>
      <c r="BG15" s="25">
        <v>1.47</v>
      </c>
      <c r="BJ15">
        <v>90</v>
      </c>
      <c r="BK15" s="25">
        <v>1.49</v>
      </c>
      <c r="BN15">
        <v>90</v>
      </c>
      <c r="BO15" s="25">
        <v>1.43</v>
      </c>
      <c r="BR15">
        <v>90</v>
      </c>
      <c r="BS15" s="25">
        <v>1.4</v>
      </c>
      <c r="BV15">
        <v>90</v>
      </c>
      <c r="BW15" s="25">
        <v>1.49</v>
      </c>
    </row>
    <row r="16" spans="2:76">
      <c r="B16">
        <v>95</v>
      </c>
      <c r="F16">
        <v>95</v>
      </c>
      <c r="G16" s="25">
        <v>1.37</v>
      </c>
      <c r="J16">
        <v>95</v>
      </c>
      <c r="K16" s="25">
        <v>1.37</v>
      </c>
      <c r="N16">
        <v>95</v>
      </c>
      <c r="O16" s="25">
        <v>1.38</v>
      </c>
      <c r="R16">
        <v>95</v>
      </c>
      <c r="S16" s="25">
        <v>1.42</v>
      </c>
      <c r="V16">
        <v>95</v>
      </c>
      <c r="W16" s="25">
        <v>1.42</v>
      </c>
      <c r="Z16">
        <v>95</v>
      </c>
      <c r="AA16" s="25">
        <v>1.55</v>
      </c>
      <c r="AD16">
        <v>95</v>
      </c>
      <c r="AE16" s="25">
        <v>1.52</v>
      </c>
      <c r="AH16">
        <v>95</v>
      </c>
      <c r="AI16" s="25">
        <v>1.43</v>
      </c>
      <c r="AL16">
        <v>95</v>
      </c>
      <c r="AM16" s="25">
        <v>1.45</v>
      </c>
      <c r="AP16">
        <v>95</v>
      </c>
      <c r="AQ16" s="25">
        <v>1.44</v>
      </c>
      <c r="AT16">
        <v>95</v>
      </c>
      <c r="AU16" s="25">
        <v>1.47</v>
      </c>
      <c r="AX16">
        <v>95</v>
      </c>
      <c r="AY16" s="25">
        <v>1.47</v>
      </c>
      <c r="BB16">
        <v>95</v>
      </c>
      <c r="BC16" s="25">
        <v>1.43</v>
      </c>
      <c r="BF16">
        <v>95</v>
      </c>
      <c r="BG16" s="25">
        <v>1.51</v>
      </c>
      <c r="BJ16">
        <v>95</v>
      </c>
      <c r="BK16" s="25">
        <v>1.54</v>
      </c>
      <c r="BN16">
        <v>95</v>
      </c>
      <c r="BO16" s="25">
        <v>1.46</v>
      </c>
      <c r="BR16">
        <v>95</v>
      </c>
      <c r="BS16" s="25">
        <v>1.43</v>
      </c>
      <c r="BV16">
        <v>95</v>
      </c>
      <c r="BW16" s="25">
        <v>1.54</v>
      </c>
    </row>
    <row r="17" spans="2:76">
      <c r="B17">
        <v>100</v>
      </c>
      <c r="F17">
        <v>100</v>
      </c>
      <c r="G17" s="25">
        <v>1.4</v>
      </c>
      <c r="J17">
        <v>100</v>
      </c>
      <c r="K17" s="25">
        <v>1.4</v>
      </c>
      <c r="N17">
        <v>100</v>
      </c>
      <c r="O17" s="25">
        <v>1.42</v>
      </c>
      <c r="R17">
        <v>100</v>
      </c>
      <c r="S17" s="25">
        <v>1.45</v>
      </c>
      <c r="V17">
        <v>100</v>
      </c>
      <c r="W17" s="25">
        <v>1.46</v>
      </c>
      <c r="Z17">
        <v>100</v>
      </c>
      <c r="AA17" s="25">
        <v>1.59</v>
      </c>
      <c r="AD17">
        <v>100</v>
      </c>
      <c r="AE17" s="25">
        <v>1.56</v>
      </c>
      <c r="AH17">
        <v>100</v>
      </c>
      <c r="AI17" s="25">
        <v>1.47</v>
      </c>
      <c r="AL17">
        <v>100</v>
      </c>
      <c r="AM17" s="25">
        <v>1.48</v>
      </c>
      <c r="AP17">
        <v>100</v>
      </c>
      <c r="AQ17" s="25">
        <v>1.48</v>
      </c>
      <c r="AT17">
        <v>100</v>
      </c>
      <c r="AU17" s="25">
        <v>1.51</v>
      </c>
      <c r="AX17">
        <v>100</v>
      </c>
      <c r="AY17" s="25">
        <v>1.5</v>
      </c>
      <c r="BB17">
        <v>100</v>
      </c>
      <c r="BC17" s="25">
        <v>1.47</v>
      </c>
      <c r="BF17">
        <v>100</v>
      </c>
      <c r="BG17" s="25">
        <v>1.56</v>
      </c>
      <c r="BJ17">
        <v>100</v>
      </c>
      <c r="BK17" s="25">
        <v>1.58</v>
      </c>
      <c r="BN17">
        <v>100</v>
      </c>
      <c r="BO17" s="25">
        <v>1.5</v>
      </c>
      <c r="BR17">
        <v>100</v>
      </c>
      <c r="BS17" s="25">
        <v>1.46</v>
      </c>
      <c r="BV17">
        <v>100</v>
      </c>
      <c r="BW17" s="25">
        <v>1.58</v>
      </c>
    </row>
    <row r="18" spans="2:76">
      <c r="B18">
        <v>105</v>
      </c>
      <c r="F18">
        <v>105</v>
      </c>
      <c r="G18" s="25">
        <v>1.43</v>
      </c>
      <c r="J18">
        <v>105</v>
      </c>
      <c r="K18" s="25">
        <v>1.44</v>
      </c>
      <c r="N18">
        <v>105</v>
      </c>
      <c r="O18" s="25">
        <v>1.45</v>
      </c>
      <c r="R18">
        <v>105</v>
      </c>
      <c r="S18" s="25">
        <v>1.48</v>
      </c>
      <c r="V18">
        <v>105</v>
      </c>
      <c r="W18" s="25">
        <v>1.49</v>
      </c>
      <c r="Z18">
        <v>105</v>
      </c>
      <c r="AA18" s="25">
        <v>1.64</v>
      </c>
      <c r="AD18">
        <v>105</v>
      </c>
      <c r="AE18" s="25">
        <v>1.61</v>
      </c>
      <c r="AH18">
        <v>105</v>
      </c>
      <c r="AI18" s="25">
        <v>1.5</v>
      </c>
      <c r="AL18">
        <v>105</v>
      </c>
      <c r="AM18" s="25">
        <v>1.52</v>
      </c>
      <c r="AP18">
        <v>105</v>
      </c>
      <c r="AQ18" s="25">
        <v>1.51</v>
      </c>
      <c r="AT18">
        <v>105</v>
      </c>
      <c r="AU18" s="25">
        <v>1.54</v>
      </c>
      <c r="AX18">
        <v>105</v>
      </c>
      <c r="AY18" s="25">
        <v>1.54</v>
      </c>
      <c r="BB18">
        <v>105</v>
      </c>
      <c r="BC18" s="25">
        <v>1.5</v>
      </c>
      <c r="BF18">
        <v>105</v>
      </c>
      <c r="BG18" s="25">
        <v>1.6</v>
      </c>
      <c r="BJ18">
        <v>105</v>
      </c>
      <c r="BK18" s="25">
        <v>1.63</v>
      </c>
      <c r="BN18">
        <v>105</v>
      </c>
      <c r="BO18" s="25">
        <v>1.54</v>
      </c>
      <c r="BR18">
        <v>105</v>
      </c>
      <c r="BS18" s="25">
        <v>1.5</v>
      </c>
      <c r="BV18">
        <v>105</v>
      </c>
      <c r="BW18" s="25">
        <v>1.63</v>
      </c>
    </row>
    <row r="19" spans="2:76">
      <c r="B19">
        <v>110</v>
      </c>
      <c r="F19">
        <v>110</v>
      </c>
      <c r="G19" s="25">
        <v>1.46</v>
      </c>
      <c r="J19">
        <v>110</v>
      </c>
      <c r="K19" s="25">
        <v>1.47</v>
      </c>
      <c r="N19">
        <v>110</v>
      </c>
      <c r="O19" s="25">
        <v>1.48</v>
      </c>
      <c r="R19">
        <v>110</v>
      </c>
      <c r="S19" s="25">
        <v>1.52</v>
      </c>
      <c r="V19">
        <v>110</v>
      </c>
      <c r="W19" s="25">
        <v>1.53</v>
      </c>
      <c r="Z19">
        <v>110</v>
      </c>
      <c r="AA19" s="25">
        <v>1.69</v>
      </c>
      <c r="AD19">
        <v>110</v>
      </c>
      <c r="AE19" s="25">
        <v>1.65</v>
      </c>
      <c r="AH19">
        <v>110</v>
      </c>
      <c r="AI19" s="25">
        <v>1.54</v>
      </c>
      <c r="AL19">
        <v>110</v>
      </c>
      <c r="AM19" s="25">
        <v>1.56</v>
      </c>
      <c r="AP19">
        <v>110</v>
      </c>
      <c r="AQ19" s="25">
        <v>1.55</v>
      </c>
      <c r="AT19">
        <v>110</v>
      </c>
      <c r="AU19" s="25">
        <v>1.58</v>
      </c>
      <c r="AX19">
        <v>110</v>
      </c>
      <c r="AY19" s="25">
        <v>1.58</v>
      </c>
      <c r="BB19">
        <v>110</v>
      </c>
      <c r="BC19" s="25">
        <v>1.54</v>
      </c>
      <c r="BF19">
        <v>110</v>
      </c>
      <c r="BG19" s="25">
        <v>1.65</v>
      </c>
      <c r="BJ19">
        <v>110</v>
      </c>
      <c r="BK19" s="25">
        <v>1.68</v>
      </c>
      <c r="BN19">
        <v>110</v>
      </c>
      <c r="BO19" s="25">
        <v>1.58</v>
      </c>
      <c r="BR19">
        <v>110</v>
      </c>
      <c r="BS19" s="25">
        <v>1.53</v>
      </c>
      <c r="BV19">
        <v>110</v>
      </c>
      <c r="BW19" s="25">
        <v>1.67</v>
      </c>
    </row>
    <row r="20" spans="2:76">
      <c r="B20">
        <v>115</v>
      </c>
      <c r="F20">
        <v>115</v>
      </c>
      <c r="G20" s="25">
        <v>1.49</v>
      </c>
      <c r="J20">
        <v>115</v>
      </c>
      <c r="K20" s="25">
        <v>1.5</v>
      </c>
      <c r="N20">
        <v>115</v>
      </c>
      <c r="O20" s="25">
        <v>1.51</v>
      </c>
      <c r="R20">
        <v>115</v>
      </c>
      <c r="S20" s="25">
        <v>1.55</v>
      </c>
      <c r="V20">
        <v>115</v>
      </c>
      <c r="W20" s="25">
        <v>1.56</v>
      </c>
      <c r="Z20">
        <v>115</v>
      </c>
      <c r="AA20" s="25">
        <v>1.74</v>
      </c>
      <c r="AD20">
        <v>115</v>
      </c>
      <c r="AE20" s="25">
        <v>1.7</v>
      </c>
      <c r="AH20">
        <v>115</v>
      </c>
      <c r="AI20" s="25">
        <v>1.57</v>
      </c>
      <c r="AL20">
        <v>115</v>
      </c>
      <c r="AM20" s="25">
        <v>1.59</v>
      </c>
      <c r="AP20">
        <v>115</v>
      </c>
      <c r="AQ20" s="25">
        <v>1.59</v>
      </c>
      <c r="AT20">
        <v>115</v>
      </c>
      <c r="AU20" s="25">
        <v>1.62</v>
      </c>
      <c r="AX20">
        <v>115</v>
      </c>
      <c r="AY20" s="25">
        <v>1.62</v>
      </c>
      <c r="BB20">
        <v>115</v>
      </c>
      <c r="BC20" s="25">
        <v>1.58</v>
      </c>
      <c r="BF20">
        <v>115</v>
      </c>
      <c r="BG20" s="25">
        <v>1.69</v>
      </c>
      <c r="BJ20">
        <v>115</v>
      </c>
      <c r="BK20" s="25">
        <v>1.72</v>
      </c>
      <c r="BN20">
        <v>115</v>
      </c>
      <c r="BO20" s="25">
        <v>1.61</v>
      </c>
      <c r="BR20">
        <v>115</v>
      </c>
      <c r="BS20" s="25">
        <v>1.57</v>
      </c>
      <c r="BV20">
        <v>115</v>
      </c>
      <c r="BW20" s="25">
        <v>1.72</v>
      </c>
    </row>
    <row r="21" spans="2:76">
      <c r="B21">
        <v>120</v>
      </c>
      <c r="F21">
        <v>120</v>
      </c>
      <c r="G21" s="25">
        <v>1.52</v>
      </c>
      <c r="J21">
        <v>120</v>
      </c>
      <c r="K21" s="25">
        <v>1.53</v>
      </c>
      <c r="N21">
        <v>120</v>
      </c>
      <c r="O21" s="25">
        <v>1.55</v>
      </c>
      <c r="R21">
        <v>120</v>
      </c>
      <c r="S21" s="25">
        <v>1.59</v>
      </c>
      <c r="V21">
        <v>120</v>
      </c>
      <c r="W21" s="25">
        <v>1.6</v>
      </c>
      <c r="Z21">
        <v>120</v>
      </c>
      <c r="AA21" s="25">
        <v>1.79</v>
      </c>
      <c r="AD21">
        <v>120</v>
      </c>
      <c r="AE21" s="25">
        <v>1.75</v>
      </c>
      <c r="AH21">
        <v>120</v>
      </c>
      <c r="AI21" s="25">
        <v>1.61</v>
      </c>
      <c r="AL21">
        <v>120</v>
      </c>
      <c r="AM21" s="25">
        <v>1.63</v>
      </c>
      <c r="AP21">
        <v>120</v>
      </c>
      <c r="AQ21" s="25">
        <v>1.62</v>
      </c>
      <c r="AT21">
        <v>120</v>
      </c>
      <c r="AU21" s="25">
        <v>1.66</v>
      </c>
      <c r="AX21">
        <v>120</v>
      </c>
      <c r="AY21" s="25">
        <v>1.65</v>
      </c>
      <c r="BB21">
        <v>120</v>
      </c>
      <c r="BC21" s="25">
        <v>1.61</v>
      </c>
      <c r="BF21">
        <v>120</v>
      </c>
      <c r="BG21" s="25">
        <v>1.74</v>
      </c>
      <c r="BJ21">
        <v>120</v>
      </c>
      <c r="BK21" s="25">
        <v>1.77</v>
      </c>
      <c r="BN21">
        <v>120</v>
      </c>
      <c r="BO21" s="25">
        <v>1.65</v>
      </c>
      <c r="BR21">
        <v>120</v>
      </c>
      <c r="BS21" s="25">
        <v>1.6</v>
      </c>
      <c r="BV21">
        <v>120</v>
      </c>
      <c r="BW21" s="25">
        <v>1.77</v>
      </c>
    </row>
    <row r="22" spans="2:76">
      <c r="B22">
        <v>125</v>
      </c>
      <c r="F22">
        <v>125</v>
      </c>
      <c r="G22" s="25">
        <v>1.56</v>
      </c>
      <c r="J22">
        <v>125</v>
      </c>
      <c r="K22" s="25">
        <v>1.56</v>
      </c>
      <c r="N22">
        <v>125</v>
      </c>
      <c r="O22" s="25">
        <v>1.58</v>
      </c>
      <c r="R22">
        <v>125</v>
      </c>
      <c r="S22" s="25">
        <v>1.62</v>
      </c>
      <c r="V22">
        <v>125</v>
      </c>
      <c r="W22" s="25">
        <v>1.64</v>
      </c>
      <c r="Z22">
        <v>125</v>
      </c>
      <c r="AA22" s="25">
        <v>1.84</v>
      </c>
      <c r="AD22">
        <v>125</v>
      </c>
      <c r="AE22" s="25">
        <v>1.8</v>
      </c>
      <c r="AH22">
        <v>125</v>
      </c>
      <c r="AI22" s="25">
        <v>1.65</v>
      </c>
      <c r="AL22">
        <v>125</v>
      </c>
      <c r="AM22" s="25">
        <v>1.67</v>
      </c>
      <c r="AP22">
        <v>125</v>
      </c>
      <c r="AQ22" s="25">
        <v>1.66</v>
      </c>
      <c r="AT22">
        <v>125</v>
      </c>
      <c r="AU22" s="25">
        <v>1.7</v>
      </c>
      <c r="AX22">
        <v>125</v>
      </c>
      <c r="AY22" s="25">
        <v>1.69</v>
      </c>
      <c r="BB22">
        <v>125</v>
      </c>
      <c r="BC22" s="25">
        <v>1.65</v>
      </c>
      <c r="BF22">
        <v>125</v>
      </c>
      <c r="BG22" s="25">
        <v>1.79</v>
      </c>
      <c r="BJ22">
        <v>125</v>
      </c>
      <c r="BK22" s="25">
        <v>1.82</v>
      </c>
      <c r="BN22">
        <v>125</v>
      </c>
      <c r="BO22" s="25">
        <v>1.69</v>
      </c>
      <c r="BR22">
        <v>125</v>
      </c>
      <c r="BS22" s="25">
        <v>1.64</v>
      </c>
      <c r="BV22">
        <v>125</v>
      </c>
      <c r="BW22" s="25">
        <v>1.82</v>
      </c>
    </row>
    <row r="23" spans="2:76">
      <c r="B23">
        <v>130</v>
      </c>
      <c r="F23">
        <v>130</v>
      </c>
      <c r="G23" s="25">
        <v>1.59</v>
      </c>
      <c r="J23">
        <v>130</v>
      </c>
      <c r="K23" s="25">
        <v>1.6</v>
      </c>
      <c r="N23">
        <v>130</v>
      </c>
      <c r="O23" s="25">
        <v>1.61</v>
      </c>
      <c r="R23">
        <v>130</v>
      </c>
      <c r="S23" s="25">
        <v>1.66</v>
      </c>
      <c r="V23">
        <v>130</v>
      </c>
      <c r="W23" s="25">
        <v>1.67</v>
      </c>
      <c r="Z23">
        <v>130</v>
      </c>
      <c r="AA23" s="25">
        <v>1.89</v>
      </c>
      <c r="AD23">
        <v>130</v>
      </c>
      <c r="AE23" s="25">
        <v>1.85</v>
      </c>
      <c r="AH23">
        <v>130</v>
      </c>
      <c r="AI23" s="25">
        <v>1.68</v>
      </c>
      <c r="AL23">
        <v>130</v>
      </c>
      <c r="AM23" s="25">
        <v>1.71</v>
      </c>
      <c r="AP23">
        <v>130</v>
      </c>
      <c r="AQ23" s="25">
        <v>1.7</v>
      </c>
      <c r="AT23">
        <v>130</v>
      </c>
      <c r="AU23" s="25">
        <v>1.73</v>
      </c>
      <c r="AX23">
        <v>130</v>
      </c>
      <c r="AY23" s="25">
        <v>1.73</v>
      </c>
      <c r="BB23">
        <v>130</v>
      </c>
      <c r="BC23" s="25">
        <v>1.69</v>
      </c>
      <c r="BF23">
        <v>130</v>
      </c>
      <c r="BG23" s="25">
        <v>1.84</v>
      </c>
      <c r="BJ23">
        <v>130</v>
      </c>
      <c r="BK23" s="25">
        <v>1.88</v>
      </c>
      <c r="BN23">
        <v>130</v>
      </c>
      <c r="BO23" s="25">
        <v>1.73</v>
      </c>
      <c r="BR23">
        <v>130</v>
      </c>
      <c r="BS23" s="25">
        <v>1.68</v>
      </c>
      <c r="BV23">
        <v>130</v>
      </c>
      <c r="BW23" s="25">
        <v>1.87</v>
      </c>
    </row>
    <row r="24" spans="2:76">
      <c r="AI24" s="25"/>
      <c r="AM24" s="25"/>
      <c r="AQ24" s="25"/>
      <c r="AU24" s="25"/>
      <c r="AY24" s="25"/>
      <c r="BC24" s="25"/>
      <c r="BG24" s="25"/>
      <c r="BK24" s="25"/>
      <c r="BO24" s="25"/>
      <c r="BS24" s="25"/>
      <c r="BW24" s="25"/>
    </row>
    <row r="25" spans="2:76">
      <c r="B25" s="25" t="s">
        <v>461</v>
      </c>
      <c r="C25">
        <f>IOUTMAX</f>
        <v>20</v>
      </c>
      <c r="D25" s="25" t="s">
        <v>25</v>
      </c>
      <c r="F25" s="25" t="s">
        <v>461</v>
      </c>
      <c r="G25">
        <f>IOUTMAX</f>
        <v>20</v>
      </c>
      <c r="H25" s="25" t="s">
        <v>25</v>
      </c>
      <c r="J25" s="25" t="s">
        <v>461</v>
      </c>
      <c r="K25">
        <f>IOUTMAX</f>
        <v>20</v>
      </c>
      <c r="L25" s="25" t="s">
        <v>25</v>
      </c>
      <c r="N25" s="25" t="s">
        <v>461</v>
      </c>
      <c r="O25">
        <f>IOUTMAX</f>
        <v>20</v>
      </c>
      <c r="P25" s="25" t="s">
        <v>25</v>
      </c>
      <c r="R25" s="25" t="s">
        <v>461</v>
      </c>
      <c r="S25">
        <f>IOUTMAX</f>
        <v>20</v>
      </c>
      <c r="T25" s="25" t="s">
        <v>25</v>
      </c>
      <c r="V25" s="25" t="s">
        <v>461</v>
      </c>
      <c r="W25">
        <f>IOUTMAX</f>
        <v>20</v>
      </c>
      <c r="X25" s="25" t="s">
        <v>25</v>
      </c>
      <c r="Z25" s="25" t="s">
        <v>461</v>
      </c>
      <c r="AA25">
        <f>IOUTMAX</f>
        <v>20</v>
      </c>
      <c r="AB25" s="25" t="s">
        <v>25</v>
      </c>
      <c r="AD25" s="25" t="s">
        <v>461</v>
      </c>
      <c r="AE25">
        <f>IOUTMAX</f>
        <v>20</v>
      </c>
      <c r="AF25" s="25" t="s">
        <v>25</v>
      </c>
      <c r="AH25" s="25" t="s">
        <v>461</v>
      </c>
      <c r="AI25">
        <f>IOUTMAX</f>
        <v>20</v>
      </c>
      <c r="AJ25" s="25" t="s">
        <v>25</v>
      </c>
      <c r="AL25" s="25" t="s">
        <v>461</v>
      </c>
      <c r="AM25">
        <f>IOUTMAX</f>
        <v>20</v>
      </c>
      <c r="AN25" s="25" t="s">
        <v>25</v>
      </c>
      <c r="AP25" s="25" t="s">
        <v>461</v>
      </c>
      <c r="AQ25">
        <f>IOUTMAX</f>
        <v>20</v>
      </c>
      <c r="AR25" s="25" t="s">
        <v>25</v>
      </c>
      <c r="AT25" s="25" t="s">
        <v>461</v>
      </c>
      <c r="AU25">
        <f>IOUTMAX</f>
        <v>20</v>
      </c>
      <c r="AV25" s="25" t="s">
        <v>25</v>
      </c>
      <c r="AX25" s="25" t="s">
        <v>461</v>
      </c>
      <c r="AY25">
        <f>IOUTMAX</f>
        <v>20</v>
      </c>
      <c r="AZ25" s="25" t="s">
        <v>25</v>
      </c>
      <c r="BB25" s="25" t="s">
        <v>461</v>
      </c>
      <c r="BC25">
        <f>IOUTMAX</f>
        <v>20</v>
      </c>
      <c r="BD25" s="25" t="s">
        <v>25</v>
      </c>
      <c r="BF25" s="25" t="s">
        <v>461</v>
      </c>
      <c r="BG25">
        <f>IOUTMAX</f>
        <v>20</v>
      </c>
      <c r="BH25" s="25" t="s">
        <v>25</v>
      </c>
      <c r="BJ25" s="25" t="s">
        <v>461</v>
      </c>
      <c r="BK25">
        <f>IOUTMAX</f>
        <v>20</v>
      </c>
      <c r="BL25" s="25" t="s">
        <v>25</v>
      </c>
      <c r="BN25" s="25" t="s">
        <v>461</v>
      </c>
      <c r="BO25">
        <f>IOUTMAX</f>
        <v>20</v>
      </c>
      <c r="BP25" s="25" t="s">
        <v>25</v>
      </c>
      <c r="BR25" s="25" t="s">
        <v>461</v>
      </c>
      <c r="BS25">
        <f>IOUTMAX</f>
        <v>20</v>
      </c>
      <c r="BT25" s="25" t="s">
        <v>25</v>
      </c>
      <c r="BV25" s="25" t="s">
        <v>461</v>
      </c>
      <c r="BW25">
        <f>IOUTMAX</f>
        <v>20</v>
      </c>
      <c r="BX25" s="25" t="s">
        <v>25</v>
      </c>
    </row>
    <row r="26" spans="2:76" ht="14">
      <c r="B26" s="25" t="s">
        <v>462</v>
      </c>
      <c r="C26">
        <f>TAMB</f>
        <v>85</v>
      </c>
      <c r="D26" s="25" t="s">
        <v>456</v>
      </c>
      <c r="F26" s="25" t="s">
        <v>462</v>
      </c>
      <c r="G26">
        <f>TAMB</f>
        <v>85</v>
      </c>
      <c r="H26" s="25" t="s">
        <v>456</v>
      </c>
      <c r="J26" s="25" t="s">
        <v>462</v>
      </c>
      <c r="K26">
        <f>TAMB</f>
        <v>85</v>
      </c>
      <c r="L26" s="25" t="s">
        <v>456</v>
      </c>
      <c r="N26" s="25" t="s">
        <v>462</v>
      </c>
      <c r="O26">
        <f>TAMB</f>
        <v>85</v>
      </c>
      <c r="P26" s="25" t="s">
        <v>456</v>
      </c>
      <c r="R26" s="25" t="s">
        <v>462</v>
      </c>
      <c r="S26">
        <f>TAMB</f>
        <v>85</v>
      </c>
      <c r="T26" s="25" t="s">
        <v>456</v>
      </c>
      <c r="V26" s="25" t="s">
        <v>462</v>
      </c>
      <c r="W26">
        <f>TAMB</f>
        <v>85</v>
      </c>
      <c r="X26" s="25" t="s">
        <v>456</v>
      </c>
      <c r="Z26" s="25" t="s">
        <v>462</v>
      </c>
      <c r="AA26">
        <f>TAMB</f>
        <v>85</v>
      </c>
      <c r="AB26" s="25" t="s">
        <v>456</v>
      </c>
      <c r="AD26" s="25" t="s">
        <v>462</v>
      </c>
      <c r="AE26">
        <f>TAMB</f>
        <v>85</v>
      </c>
      <c r="AF26" s="25" t="s">
        <v>456</v>
      </c>
      <c r="AH26" s="25" t="s">
        <v>462</v>
      </c>
      <c r="AI26">
        <f>TAMB</f>
        <v>85</v>
      </c>
      <c r="AJ26" s="25" t="s">
        <v>456</v>
      </c>
      <c r="AL26" s="25" t="s">
        <v>462</v>
      </c>
      <c r="AM26">
        <f>TAMB</f>
        <v>85</v>
      </c>
      <c r="AN26" s="25" t="s">
        <v>456</v>
      </c>
      <c r="AP26" s="25" t="s">
        <v>462</v>
      </c>
      <c r="AQ26">
        <f>TAMB</f>
        <v>85</v>
      </c>
      <c r="AR26" s="25" t="s">
        <v>456</v>
      </c>
      <c r="AT26" s="25" t="s">
        <v>462</v>
      </c>
      <c r="AU26">
        <f>TAMB</f>
        <v>85</v>
      </c>
      <c r="AV26" s="25" t="s">
        <v>456</v>
      </c>
      <c r="AX26" s="25" t="s">
        <v>462</v>
      </c>
      <c r="AY26">
        <f>TAMB</f>
        <v>85</v>
      </c>
      <c r="AZ26" s="25" t="s">
        <v>456</v>
      </c>
      <c r="BB26" s="25" t="s">
        <v>462</v>
      </c>
      <c r="BC26">
        <f>TAMB</f>
        <v>85</v>
      </c>
      <c r="BD26" s="25" t="s">
        <v>456</v>
      </c>
      <c r="BF26" s="25" t="s">
        <v>462</v>
      </c>
      <c r="BG26">
        <f>TAMB</f>
        <v>85</v>
      </c>
      <c r="BH26" s="25" t="s">
        <v>456</v>
      </c>
      <c r="BJ26" s="25" t="s">
        <v>462</v>
      </c>
      <c r="BK26">
        <f>TAMB</f>
        <v>85</v>
      </c>
      <c r="BL26" s="25" t="s">
        <v>456</v>
      </c>
      <c r="BN26" s="25" t="s">
        <v>462</v>
      </c>
      <c r="BO26">
        <f>TAMB</f>
        <v>85</v>
      </c>
      <c r="BP26" s="25" t="s">
        <v>456</v>
      </c>
      <c r="BR26" s="25" t="s">
        <v>462</v>
      </c>
      <c r="BS26">
        <f>TAMB</f>
        <v>85</v>
      </c>
      <c r="BT26" s="25" t="s">
        <v>456</v>
      </c>
      <c r="BV26" s="25" t="s">
        <v>462</v>
      </c>
      <c r="BW26">
        <f>TAMB</f>
        <v>85</v>
      </c>
      <c r="BX26" s="25" t="s">
        <v>456</v>
      </c>
    </row>
    <row r="27" spans="2:76" ht="15">
      <c r="B27" s="29" t="s">
        <v>463</v>
      </c>
      <c r="C27">
        <f>ThetaJA</f>
        <v>30</v>
      </c>
      <c r="D27" s="25" t="s">
        <v>482</v>
      </c>
      <c r="F27" s="29" t="s">
        <v>463</v>
      </c>
      <c r="G27">
        <f>ThetaJA</f>
        <v>30</v>
      </c>
      <c r="H27" s="25" t="s">
        <v>482</v>
      </c>
      <c r="J27" s="29" t="s">
        <v>463</v>
      </c>
      <c r="K27">
        <f>ThetaJA</f>
        <v>30</v>
      </c>
      <c r="L27" s="25" t="s">
        <v>482</v>
      </c>
      <c r="N27" s="29" t="s">
        <v>463</v>
      </c>
      <c r="O27">
        <f>ThetaJA</f>
        <v>30</v>
      </c>
      <c r="P27" s="25" t="s">
        <v>482</v>
      </c>
      <c r="R27" s="29" t="s">
        <v>463</v>
      </c>
      <c r="S27">
        <f>ThetaJA</f>
        <v>30</v>
      </c>
      <c r="T27" s="25" t="s">
        <v>482</v>
      </c>
      <c r="V27" s="29" t="s">
        <v>463</v>
      </c>
      <c r="W27">
        <f>ThetaJA</f>
        <v>30</v>
      </c>
      <c r="X27" s="25" t="s">
        <v>482</v>
      </c>
      <c r="Z27" s="29" t="s">
        <v>463</v>
      </c>
      <c r="AA27">
        <f>ThetaJA</f>
        <v>30</v>
      </c>
      <c r="AB27" s="25" t="s">
        <v>482</v>
      </c>
      <c r="AD27" s="29" t="s">
        <v>463</v>
      </c>
      <c r="AE27">
        <f>ThetaJA</f>
        <v>30</v>
      </c>
      <c r="AF27" s="25" t="s">
        <v>482</v>
      </c>
      <c r="AH27" s="29" t="s">
        <v>463</v>
      </c>
      <c r="AI27">
        <f>ThetaJA</f>
        <v>30</v>
      </c>
      <c r="AJ27" s="25" t="s">
        <v>482</v>
      </c>
      <c r="AL27" s="29" t="s">
        <v>463</v>
      </c>
      <c r="AM27">
        <f>ThetaJA</f>
        <v>30</v>
      </c>
      <c r="AN27" s="25" t="s">
        <v>482</v>
      </c>
      <c r="AP27" s="29" t="s">
        <v>463</v>
      </c>
      <c r="AQ27">
        <f>ThetaJA</f>
        <v>30</v>
      </c>
      <c r="AR27" s="25" t="s">
        <v>482</v>
      </c>
      <c r="AT27" s="29" t="s">
        <v>463</v>
      </c>
      <c r="AU27">
        <f>ThetaJA</f>
        <v>30</v>
      </c>
      <c r="AV27" s="25" t="s">
        <v>482</v>
      </c>
      <c r="AX27" s="29" t="s">
        <v>463</v>
      </c>
      <c r="AY27">
        <f>ThetaJA</f>
        <v>30</v>
      </c>
      <c r="AZ27" s="25" t="s">
        <v>482</v>
      </c>
      <c r="BB27" s="29" t="s">
        <v>463</v>
      </c>
      <c r="BC27">
        <f>ThetaJA</f>
        <v>30</v>
      </c>
      <c r="BD27" s="25" t="s">
        <v>482</v>
      </c>
      <c r="BF27" s="29" t="s">
        <v>463</v>
      </c>
      <c r="BG27">
        <f>ThetaJA</f>
        <v>30</v>
      </c>
      <c r="BH27" s="25" t="s">
        <v>482</v>
      </c>
      <c r="BJ27" s="29" t="s">
        <v>463</v>
      </c>
      <c r="BK27">
        <f>ThetaJA</f>
        <v>30</v>
      </c>
      <c r="BL27" s="25" t="s">
        <v>482</v>
      </c>
      <c r="BN27" s="29" t="s">
        <v>463</v>
      </c>
      <c r="BO27">
        <f>ThetaJA</f>
        <v>30</v>
      </c>
      <c r="BP27" s="25" t="s">
        <v>482</v>
      </c>
      <c r="BR27" s="29" t="s">
        <v>463</v>
      </c>
      <c r="BS27">
        <f>ThetaJA</f>
        <v>30</v>
      </c>
      <c r="BT27" s="25" t="s">
        <v>482</v>
      </c>
      <c r="BV27" s="29" t="s">
        <v>463</v>
      </c>
      <c r="BW27">
        <f>ThetaJA</f>
        <v>30</v>
      </c>
      <c r="BX27" s="25" t="s">
        <v>482</v>
      </c>
    </row>
    <row r="28" spans="2:76" ht="14">
      <c r="B28" s="29" t="s">
        <v>464</v>
      </c>
      <c r="C28" s="98">
        <f>'Design Calculator'!F25</f>
        <v>100</v>
      </c>
      <c r="D28" s="25" t="s">
        <v>456</v>
      </c>
      <c r="F28" s="29" t="s">
        <v>464</v>
      </c>
      <c r="G28" s="98">
        <f>'Design Calculator'!F25</f>
        <v>100</v>
      </c>
      <c r="H28" s="25" t="s">
        <v>456</v>
      </c>
      <c r="J28" s="29" t="s">
        <v>464</v>
      </c>
      <c r="K28" s="98">
        <f>'Design Calculator'!F25</f>
        <v>100</v>
      </c>
      <c r="L28" s="25" t="s">
        <v>456</v>
      </c>
      <c r="N28" s="29" t="s">
        <v>464</v>
      </c>
      <c r="O28" s="98">
        <f>'Design Calculator'!F25</f>
        <v>100</v>
      </c>
      <c r="P28" s="25" t="s">
        <v>456</v>
      </c>
      <c r="R28" s="29" t="s">
        <v>464</v>
      </c>
      <c r="S28" s="98">
        <f>'Design Calculator'!F25</f>
        <v>100</v>
      </c>
      <c r="T28" s="25" t="s">
        <v>456</v>
      </c>
      <c r="V28" s="29" t="s">
        <v>464</v>
      </c>
      <c r="W28" s="98">
        <f>'Design Calculator'!F25</f>
        <v>100</v>
      </c>
      <c r="X28" s="25" t="s">
        <v>456</v>
      </c>
      <c r="Z28" s="29" t="s">
        <v>464</v>
      </c>
      <c r="AA28" s="98">
        <f>'Design Calculator'!F25</f>
        <v>100</v>
      </c>
      <c r="AB28" s="25" t="s">
        <v>456</v>
      </c>
      <c r="AD28" s="29" t="s">
        <v>464</v>
      </c>
      <c r="AE28" s="98">
        <f>'Design Calculator'!F25</f>
        <v>100</v>
      </c>
      <c r="AF28" s="25" t="s">
        <v>456</v>
      </c>
      <c r="AH28" s="29" t="s">
        <v>464</v>
      </c>
      <c r="AI28" s="98">
        <f>'Design Calculator'!F25</f>
        <v>100</v>
      </c>
      <c r="AJ28" s="25" t="s">
        <v>456</v>
      </c>
      <c r="AL28" s="29" t="s">
        <v>464</v>
      </c>
      <c r="AM28" s="98">
        <f>'Design Calculator'!F25</f>
        <v>100</v>
      </c>
      <c r="AN28" s="25" t="s">
        <v>456</v>
      </c>
      <c r="AP28" s="29" t="s">
        <v>464</v>
      </c>
      <c r="AQ28" s="98">
        <f>'Design Calculator'!F25</f>
        <v>100</v>
      </c>
      <c r="AR28" s="25" t="s">
        <v>456</v>
      </c>
      <c r="AT28" s="29" t="s">
        <v>464</v>
      </c>
      <c r="AU28" s="98">
        <f>'Design Calculator'!F25</f>
        <v>100</v>
      </c>
      <c r="AV28" s="25" t="s">
        <v>456</v>
      </c>
      <c r="AX28" s="29" t="s">
        <v>464</v>
      </c>
      <c r="AY28" s="98">
        <f>'Design Calculator'!F25</f>
        <v>100</v>
      </c>
      <c r="AZ28" s="25" t="s">
        <v>456</v>
      </c>
      <c r="BB28" s="29" t="s">
        <v>464</v>
      </c>
      <c r="BC28" s="98">
        <f>'Design Calculator'!F25</f>
        <v>100</v>
      </c>
      <c r="BD28" s="25" t="s">
        <v>456</v>
      </c>
      <c r="BF28" s="29" t="s">
        <v>464</v>
      </c>
      <c r="BG28" s="98">
        <f>'Design Calculator'!F25</f>
        <v>100</v>
      </c>
      <c r="BH28" s="25" t="s">
        <v>456</v>
      </c>
      <c r="BJ28" s="29" t="s">
        <v>464</v>
      </c>
      <c r="BK28" s="98">
        <f>'Design Calculator'!F25</f>
        <v>100</v>
      </c>
      <c r="BL28" s="25" t="s">
        <v>456</v>
      </c>
      <c r="BN28" s="29" t="s">
        <v>464</v>
      </c>
      <c r="BO28" s="98">
        <f>'Design Calculator'!F25</f>
        <v>100</v>
      </c>
      <c r="BP28" s="25" t="s">
        <v>456</v>
      </c>
      <c r="BR28" s="29" t="s">
        <v>464</v>
      </c>
      <c r="BS28" s="98">
        <f>'Design Calculator'!F25</f>
        <v>100</v>
      </c>
      <c r="BT28" s="25" t="s">
        <v>456</v>
      </c>
      <c r="BV28" s="29" t="s">
        <v>464</v>
      </c>
      <c r="BW28" s="98">
        <f>'Design Calculator'!F25</f>
        <v>100</v>
      </c>
      <c r="BX28" s="25" t="s">
        <v>456</v>
      </c>
    </row>
    <row r="29" spans="2:76">
      <c r="G29">
        <f>LOOKUP(G28,F11:F23,G11:G23)</f>
        <v>1.4</v>
      </c>
      <c r="K29">
        <f>LOOKUP(K28,J11:J23,K11:K23)</f>
        <v>1.4</v>
      </c>
      <c r="O29">
        <f>LOOKUP(O28,N11:N23,O11:O23)</f>
        <v>1.42</v>
      </c>
      <c r="S29">
        <f>LOOKUP(S28,R11:R23,S11:S23)</f>
        <v>1.45</v>
      </c>
      <c r="W29">
        <f>LOOKUP(W28,V11:V23,W11:W23)</f>
        <v>1.46</v>
      </c>
      <c r="AA29">
        <f>LOOKUP(AA28,Z11:Z23,AA11:AA23)</f>
        <v>1.59</v>
      </c>
      <c r="AE29">
        <f>LOOKUP(AE28,AD11:AD23,AE11:AE23)</f>
        <v>1.56</v>
      </c>
      <c r="AI29">
        <f>LOOKUP(AI28,AH11:AH23,AI11:AI23)</f>
        <v>1.47</v>
      </c>
      <c r="AM29">
        <f>LOOKUP(AM28,AL11:AL23,AM11:AM23)</f>
        <v>1.48</v>
      </c>
      <c r="AQ29">
        <f>LOOKUP(AQ28,AP11:AP23,AQ11:AQ23)</f>
        <v>1.48</v>
      </c>
      <c r="AU29">
        <f>LOOKUP(AU28,AT11:AT23,AU11:AU23)</f>
        <v>1.51</v>
      </c>
      <c r="AY29">
        <f>LOOKUP(AY28,AX11:AX23,AY11:AY23)</f>
        <v>1.5</v>
      </c>
      <c r="BC29">
        <f>LOOKUP(BC28,BB11:BB23,BC11:BC23)</f>
        <v>1.47</v>
      </c>
      <c r="BG29">
        <f>LOOKUP(BG28,BF11:BF23,BG11:BG23)</f>
        <v>1.56</v>
      </c>
      <c r="BK29">
        <f>LOOKUP(BK28,BJ11:BJ23,BK11:BK23)</f>
        <v>1.58</v>
      </c>
      <c r="BO29">
        <f>LOOKUP(BO28,BN11:BN23,BO11:BO23)</f>
        <v>1.5</v>
      </c>
      <c r="BS29">
        <f>LOOKUP(BS28,BR11:BR23,BS11:BS23)</f>
        <v>1.46</v>
      </c>
      <c r="BW29">
        <f>LOOKUP(BW28,BV11:BV23,BW11:BW23)</f>
        <v>1.58</v>
      </c>
    </row>
    <row r="30" spans="2:76">
      <c r="B30" t="s">
        <v>465</v>
      </c>
      <c r="C30" s="25" t="s">
        <v>483</v>
      </c>
      <c r="F30" t="s">
        <v>465</v>
      </c>
      <c r="G30" s="232" t="s">
        <v>533</v>
      </c>
      <c r="J30" t="s">
        <v>465</v>
      </c>
      <c r="K30" s="232" t="s">
        <v>535</v>
      </c>
      <c r="N30" t="s">
        <v>465</v>
      </c>
      <c r="O30" s="232" t="s">
        <v>537</v>
      </c>
      <c r="R30" t="s">
        <v>465</v>
      </c>
      <c r="S30" s="232" t="s">
        <v>539</v>
      </c>
      <c r="V30" t="s">
        <v>465</v>
      </c>
      <c r="W30" s="232" t="s">
        <v>541</v>
      </c>
      <c r="Z30" t="s">
        <v>465</v>
      </c>
      <c r="AA30" s="232" t="s">
        <v>543</v>
      </c>
      <c r="AD30" t="s">
        <v>465</v>
      </c>
      <c r="AE30" s="232" t="s">
        <v>545</v>
      </c>
      <c r="AH30" t="s">
        <v>465</v>
      </c>
      <c r="AI30" s="232" t="s">
        <v>547</v>
      </c>
      <c r="AL30" t="s">
        <v>465</v>
      </c>
      <c r="AM30" s="232" t="s">
        <v>549</v>
      </c>
      <c r="AP30" t="s">
        <v>465</v>
      </c>
      <c r="AQ30" s="232" t="s">
        <v>551</v>
      </c>
      <c r="AT30" t="s">
        <v>465</v>
      </c>
      <c r="AU30" s="232" t="s">
        <v>553</v>
      </c>
      <c r="AX30" t="s">
        <v>465</v>
      </c>
      <c r="AY30" s="232" t="s">
        <v>555</v>
      </c>
      <c r="BB30" t="s">
        <v>465</v>
      </c>
      <c r="BC30" s="232" t="s">
        <v>557</v>
      </c>
      <c r="BF30" t="s">
        <v>465</v>
      </c>
      <c r="BG30" s="232" t="s">
        <v>559</v>
      </c>
      <c r="BJ30" t="s">
        <v>465</v>
      </c>
      <c r="BK30" s="232" t="s">
        <v>561</v>
      </c>
      <c r="BN30" t="s">
        <v>465</v>
      </c>
      <c r="BO30" s="232" t="s">
        <v>562</v>
      </c>
      <c r="BR30" t="s">
        <v>465</v>
      </c>
      <c r="BS30" s="232" t="s">
        <v>565</v>
      </c>
      <c r="BV30" t="s">
        <v>465</v>
      </c>
      <c r="BW30" s="232" t="s">
        <v>567</v>
      </c>
    </row>
    <row r="31" spans="2:76">
      <c r="B31" s="25" t="s">
        <v>466</v>
      </c>
      <c r="C31">
        <f>SQRT((C25*C25*C7*C27)/(1000*(C28-C26)))</f>
        <v>1.2649110640673518</v>
      </c>
      <c r="F31" s="25" t="s">
        <v>466</v>
      </c>
      <c r="G31">
        <f>SQRT((G25*G25*G29*G7*G27)/(1000*(G28-G26)))</f>
        <v>1.3386560424545209</v>
      </c>
      <c r="J31" s="25" t="s">
        <v>466</v>
      </c>
      <c r="K31">
        <f>SQRT((K25*K25*K29*K7*K27)/(1000*(K28-K26)))</f>
        <v>1.4966629547095767</v>
      </c>
      <c r="N31" s="25" t="s">
        <v>466</v>
      </c>
      <c r="O31">
        <f>SQRT((O25*O25*O29*O7*O27)/(1000*(O28-O26)))</f>
        <v>1.5808858276295605</v>
      </c>
      <c r="R31" s="25" t="s">
        <v>466</v>
      </c>
      <c r="S31">
        <f>SQRT((S25*S25*S29*S7*S27)/(1000*(S28-S26)))</f>
        <v>1.6334013591276335</v>
      </c>
      <c r="V31" s="25" t="s">
        <v>466</v>
      </c>
      <c r="W31">
        <f>SQRT((W25*W25*W29*W7*W27)/(1000*(W28-W26)))</f>
        <v>1.9028399827626075</v>
      </c>
      <c r="Z31" s="25" t="s">
        <v>466</v>
      </c>
      <c r="AA31">
        <f>SQRT((AA25*AA25*AA29*AA7*AA27)/(1000*(AA28-AA26)))</f>
        <v>2.0175232340669589</v>
      </c>
      <c r="AD31" s="25" t="s">
        <v>466</v>
      </c>
      <c r="AE31">
        <f>SQRT((AE25*AE25*AE29*AE7*AE27)/(1000*(AE28-AE26)))</f>
        <v>2.0599029103333972</v>
      </c>
      <c r="AH31" s="25" t="s">
        <v>466</v>
      </c>
      <c r="AI31">
        <f>SQRT((AI25*AI25*AI29*AI7*AI27)/(1000*(AI28-AI26)))</f>
        <v>2.1688706738761532</v>
      </c>
      <c r="AL31" s="25" t="s">
        <v>466</v>
      </c>
      <c r="AM31">
        <f>SQRT((AM25*AM25*AM29*AM7*AM27)/(1000*(AM28-AM26)))</f>
        <v>2.2032702966272657</v>
      </c>
      <c r="AP31" s="25" t="s">
        <v>466</v>
      </c>
      <c r="AQ31">
        <f>SQRT((AQ25*AQ25*AQ29*AQ7*AQ27)/(1000*(AQ28-AQ26)))</f>
        <v>2.2299775783626168</v>
      </c>
      <c r="AT31" s="25" t="s">
        <v>466</v>
      </c>
      <c r="AU31">
        <f>SQRT((AU25*AU25*AU29*AU7*AU27)/(1000*(AU28-AU26)))</f>
        <v>2.3572865757052108</v>
      </c>
      <c r="AX31" s="25" t="s">
        <v>466</v>
      </c>
      <c r="AY31">
        <f>SQRT((AY25*AY25*AY29*AY7*AY27)/(1000*(AY28-AY26)))</f>
        <v>2.6608269391300143</v>
      </c>
      <c r="BB31" s="25" t="s">
        <v>466</v>
      </c>
      <c r="BC31">
        <f>SQRT((BC25*BC25*BC29*BC7*BC27)/(1000*(BC28-BC26)))</f>
        <v>2.7859648238985355</v>
      </c>
      <c r="BF31" s="25" t="s">
        <v>466</v>
      </c>
      <c r="BG31">
        <f>SQRT((BG25*BG25*BG29*BG7*BG27)/(1000*(BG28-BG26)))</f>
        <v>2.9131426329652998</v>
      </c>
      <c r="BJ31" s="25" t="s">
        <v>466</v>
      </c>
      <c r="BK31">
        <f>SQRT((BK25*BK25*BK29*BK7*BK27)/(1000*(BK28-BK26)))</f>
        <v>3.4101026377515384</v>
      </c>
      <c r="BN31" s="25" t="s">
        <v>466</v>
      </c>
      <c r="BO31">
        <f>SQRT((BO25*BO25*BO29*BO7*BO27)/(1000*(BO28-BO26)))</f>
        <v>3.4292856398964493</v>
      </c>
      <c r="BR31" s="25" t="s">
        <v>466</v>
      </c>
      <c r="BS31">
        <f>SQRT((BS25*BS25*BS29*BS7*BS27)/(1000*(BS28-BS26)))</f>
        <v>3.4004705556731412</v>
      </c>
      <c r="BV31" s="25" t="s">
        <v>466</v>
      </c>
      <c r="BW31">
        <f>SQRT((BW25*BW25*BW29*BW7*BW27)/(1000*(BW28-BW26)))</f>
        <v>4.0536403392506344</v>
      </c>
    </row>
    <row r="32" spans="2:76">
      <c r="B32" s="25" t="s">
        <v>467</v>
      </c>
      <c r="C32">
        <f>CEILING(C31,1)</f>
        <v>2</v>
      </c>
      <c r="F32" s="25" t="s">
        <v>467</v>
      </c>
      <c r="G32">
        <f>CEILING(G31,1)</f>
        <v>2</v>
      </c>
      <c r="J32" s="25" t="s">
        <v>467</v>
      </c>
      <c r="K32">
        <f>CEILING(K31,1)</f>
        <v>2</v>
      </c>
      <c r="N32" s="25" t="s">
        <v>467</v>
      </c>
      <c r="O32">
        <f>CEILING(O31,1)</f>
        <v>2</v>
      </c>
      <c r="R32" s="25" t="s">
        <v>467</v>
      </c>
      <c r="S32">
        <f>CEILING(S31,1)</f>
        <v>2</v>
      </c>
      <c r="V32" s="25" t="s">
        <v>467</v>
      </c>
      <c r="W32">
        <f>CEILING(W31,1)</f>
        <v>2</v>
      </c>
      <c r="Z32" s="25" t="s">
        <v>467</v>
      </c>
      <c r="AA32">
        <f>CEILING(AA31,1)</f>
        <v>3</v>
      </c>
      <c r="AD32" s="25" t="s">
        <v>467</v>
      </c>
      <c r="AE32">
        <f>CEILING(AE31,1)</f>
        <v>3</v>
      </c>
      <c r="AH32" s="25" t="s">
        <v>467</v>
      </c>
      <c r="AI32">
        <f>CEILING(AI31,1)</f>
        <v>3</v>
      </c>
      <c r="AL32" s="25" t="s">
        <v>467</v>
      </c>
      <c r="AM32">
        <f>CEILING(AM31,1)</f>
        <v>3</v>
      </c>
      <c r="AP32" s="25" t="s">
        <v>467</v>
      </c>
      <c r="AQ32">
        <f>CEILING(AQ31,1)</f>
        <v>3</v>
      </c>
      <c r="AT32" s="25" t="s">
        <v>467</v>
      </c>
      <c r="AU32">
        <f>CEILING(AU31,1)</f>
        <v>3</v>
      </c>
      <c r="AX32" s="25" t="s">
        <v>467</v>
      </c>
      <c r="AY32">
        <f>CEILING(AY31,1)</f>
        <v>3</v>
      </c>
      <c r="BB32" s="25" t="s">
        <v>467</v>
      </c>
      <c r="BC32">
        <f>CEILING(BC31,1)</f>
        <v>3</v>
      </c>
      <c r="BF32" s="25" t="s">
        <v>467</v>
      </c>
      <c r="BG32">
        <f>CEILING(BG31,1)</f>
        <v>3</v>
      </c>
      <c r="BJ32" s="25" t="s">
        <v>467</v>
      </c>
      <c r="BK32">
        <f>CEILING(BK31,1)</f>
        <v>4</v>
      </c>
      <c r="BN32" s="25" t="s">
        <v>467</v>
      </c>
      <c r="BO32">
        <f>CEILING(BO31,1)</f>
        <v>4</v>
      </c>
      <c r="BR32" s="25" t="s">
        <v>467</v>
      </c>
      <c r="BS32">
        <f>CEILING(BS31,1)</f>
        <v>4</v>
      </c>
      <c r="BV32" s="25" t="s">
        <v>467</v>
      </c>
      <c r="BW32">
        <f>CEILING(BW31,1)</f>
        <v>5</v>
      </c>
    </row>
    <row r="33" spans="2:76">
      <c r="B33" s="25" t="s">
        <v>468</v>
      </c>
      <c r="C33">
        <f>C25*C25*C7/(1000*C32*C32)</f>
        <v>0.2</v>
      </c>
      <c r="D33" s="25" t="s">
        <v>87</v>
      </c>
      <c r="F33" s="25" t="s">
        <v>468</v>
      </c>
      <c r="G33">
        <f>G25*G25*G29*G7/(1000*G32*G32)</f>
        <v>0.224</v>
      </c>
      <c r="H33" s="25" t="s">
        <v>87</v>
      </c>
      <c r="J33" s="25" t="s">
        <v>468</v>
      </c>
      <c r="K33">
        <f>K25*K25*K29*K7/(1000*K32*K32)</f>
        <v>0.28000000000000003</v>
      </c>
      <c r="L33" s="25" t="s">
        <v>87</v>
      </c>
      <c r="N33" s="25" t="s">
        <v>468</v>
      </c>
      <c r="O33">
        <f>O25*O25*O29*O7/(1000*O32*O32)</f>
        <v>0.31240000000000001</v>
      </c>
      <c r="P33" s="25" t="s">
        <v>87</v>
      </c>
      <c r="R33" s="25" t="s">
        <v>468</v>
      </c>
      <c r="S33">
        <f>S25*S25*S29*S7/(1000*S32*S32)</f>
        <v>0.33350000000000002</v>
      </c>
      <c r="T33" s="25" t="s">
        <v>87</v>
      </c>
      <c r="V33" s="25" t="s">
        <v>468</v>
      </c>
      <c r="W33">
        <f>W25*W25*W29*W7/(1000*W32*W32)</f>
        <v>0.4526</v>
      </c>
      <c r="X33" s="25" t="s">
        <v>87</v>
      </c>
      <c r="Z33" s="25" t="s">
        <v>468</v>
      </c>
      <c r="AA33">
        <f>AA25*AA25*AA29*AA7/(1000*AA32*AA32)</f>
        <v>0.22613333333333333</v>
      </c>
      <c r="AB33" s="25" t="s">
        <v>87</v>
      </c>
      <c r="AD33" s="25" t="s">
        <v>468</v>
      </c>
      <c r="AE33">
        <f>AE25*AE25*AE29*AE7/(1000*AE32*AE32)</f>
        <v>0.23573333333333332</v>
      </c>
      <c r="AF33" s="25" t="s">
        <v>87</v>
      </c>
      <c r="AH33" s="25" t="s">
        <v>468</v>
      </c>
      <c r="AI33">
        <f>AI25*AI25*AI29*AI7/(1000*AI32*AI32)</f>
        <v>0.26133333333333331</v>
      </c>
      <c r="AJ33" s="25" t="s">
        <v>87</v>
      </c>
      <c r="AL33" s="25" t="s">
        <v>468</v>
      </c>
      <c r="AM33">
        <f>AM25*AM25*AM29*AM7/(1000*AM32*AM32)</f>
        <v>0.26968888888888887</v>
      </c>
      <c r="AN33" s="25" t="s">
        <v>87</v>
      </c>
      <c r="AP33" s="25" t="s">
        <v>468</v>
      </c>
      <c r="AQ33">
        <f>AQ25*AQ25*AQ29*AQ7/(1000*AQ32*AQ32)</f>
        <v>0.27626666666666666</v>
      </c>
      <c r="AR33" s="25" t="s">
        <v>87</v>
      </c>
      <c r="AT33" s="25" t="s">
        <v>468</v>
      </c>
      <c r="AU33">
        <f>AU25*AU25*AU29*AU7/(1000*AU32*AU32)</f>
        <v>0.30871111111111105</v>
      </c>
      <c r="AV33" s="25" t="s">
        <v>87</v>
      </c>
      <c r="AX33" s="25" t="s">
        <v>468</v>
      </c>
      <c r="AY33">
        <f>AY25*AY25*AY29*AY7/(1000*AY32*AY32)</f>
        <v>0.39333333333333331</v>
      </c>
      <c r="AZ33" s="25" t="s">
        <v>87</v>
      </c>
      <c r="BB33" s="25" t="s">
        <v>468</v>
      </c>
      <c r="BC33">
        <f>BC25*BC25*BC29*BC7/(1000*BC32*BC32)</f>
        <v>0.43119999999999997</v>
      </c>
      <c r="BD33" s="25" t="s">
        <v>87</v>
      </c>
      <c r="BF33" s="25" t="s">
        <v>468</v>
      </c>
      <c r="BG33">
        <f>BG25*BG25*BG29*BG7/(1000*BG32*BG32)</f>
        <v>0.47146666666666665</v>
      </c>
      <c r="BH33" s="25" t="s">
        <v>87</v>
      </c>
      <c r="BJ33" s="25" t="s">
        <v>468</v>
      </c>
      <c r="BK33">
        <f>BK25*BK25*BK29*BK7/(1000*BK32*BK32)</f>
        <v>0.3634</v>
      </c>
      <c r="BL33" s="25" t="s">
        <v>87</v>
      </c>
      <c r="BN33" s="25" t="s">
        <v>468</v>
      </c>
      <c r="BO33">
        <f>BO25*BO25*BO29*BO7/(1000*BO32*BO32)</f>
        <v>0.36749999999999999</v>
      </c>
      <c r="BP33" s="25" t="s">
        <v>87</v>
      </c>
      <c r="BR33" s="25" t="s">
        <v>468</v>
      </c>
      <c r="BS33">
        <f>BS25*BS25*BS29*BS7/(1000*BS32*BS32)</f>
        <v>0.36135</v>
      </c>
      <c r="BT33" s="25" t="s">
        <v>87</v>
      </c>
      <c r="BV33" s="25" t="s">
        <v>468</v>
      </c>
      <c r="BW33">
        <f>BW25*BW25*BW29*BW7/(1000*BW32*BW32)</f>
        <v>0.32863999999999999</v>
      </c>
      <c r="BX33" s="25" t="s">
        <v>87</v>
      </c>
    </row>
    <row r="34" spans="2:76" ht="14">
      <c r="B34" s="25" t="s">
        <v>469</v>
      </c>
      <c r="C34">
        <f>C26+C33*C27</f>
        <v>91</v>
      </c>
      <c r="D34" s="25" t="s">
        <v>456</v>
      </c>
      <c r="F34" s="25" t="s">
        <v>469</v>
      </c>
      <c r="G34">
        <f>G26+G33*G27</f>
        <v>91.72</v>
      </c>
      <c r="H34" s="25" t="s">
        <v>456</v>
      </c>
      <c r="J34" s="25" t="s">
        <v>469</v>
      </c>
      <c r="K34">
        <f>K26+K33*K27</f>
        <v>93.4</v>
      </c>
      <c r="L34" s="25" t="s">
        <v>456</v>
      </c>
      <c r="N34" s="25" t="s">
        <v>469</v>
      </c>
      <c r="O34">
        <f>O26+O33*O27</f>
        <v>94.372</v>
      </c>
      <c r="P34" s="25" t="s">
        <v>456</v>
      </c>
      <c r="R34" s="25" t="s">
        <v>469</v>
      </c>
      <c r="S34">
        <f>S26+S33*S27</f>
        <v>95.004999999999995</v>
      </c>
      <c r="T34" s="25" t="s">
        <v>456</v>
      </c>
      <c r="V34" s="25" t="s">
        <v>469</v>
      </c>
      <c r="W34">
        <f>W26+W33*W27</f>
        <v>98.578000000000003</v>
      </c>
      <c r="X34" s="25" t="s">
        <v>456</v>
      </c>
      <c r="Z34" s="25" t="s">
        <v>469</v>
      </c>
      <c r="AA34">
        <f>AA26+AA33*AA27</f>
        <v>91.784000000000006</v>
      </c>
      <c r="AB34" s="25" t="s">
        <v>456</v>
      </c>
      <c r="AD34" s="25" t="s">
        <v>469</v>
      </c>
      <c r="AE34">
        <f>AE26+AE33*AE27</f>
        <v>92.072000000000003</v>
      </c>
      <c r="AF34" s="25" t="s">
        <v>456</v>
      </c>
      <c r="AH34" s="25" t="s">
        <v>469</v>
      </c>
      <c r="AI34">
        <f>AI26+AI33*AI27</f>
        <v>92.84</v>
      </c>
      <c r="AJ34" s="25" t="s">
        <v>456</v>
      </c>
      <c r="AL34" s="25" t="s">
        <v>469</v>
      </c>
      <c r="AM34">
        <f>AM26+AM33*AM27</f>
        <v>93.090666666666664</v>
      </c>
      <c r="AN34" s="25" t="s">
        <v>456</v>
      </c>
      <c r="AP34" s="25" t="s">
        <v>469</v>
      </c>
      <c r="AQ34">
        <f>AQ26+AQ33*AQ27</f>
        <v>93.287999999999997</v>
      </c>
      <c r="AR34" s="25" t="s">
        <v>456</v>
      </c>
      <c r="AT34" s="25" t="s">
        <v>469</v>
      </c>
      <c r="AU34">
        <f>AU26+AU33*AU27</f>
        <v>94.261333333333326</v>
      </c>
      <c r="AV34" s="25" t="s">
        <v>456</v>
      </c>
      <c r="AX34" s="25" t="s">
        <v>469</v>
      </c>
      <c r="AY34">
        <f>AY26+AY33*AY27</f>
        <v>96.8</v>
      </c>
      <c r="AZ34" s="25" t="s">
        <v>456</v>
      </c>
      <c r="BB34" s="25" t="s">
        <v>469</v>
      </c>
      <c r="BC34">
        <f>BC26+BC33*BC27</f>
        <v>97.936000000000007</v>
      </c>
      <c r="BD34" s="25" t="s">
        <v>456</v>
      </c>
      <c r="BF34" s="25" t="s">
        <v>469</v>
      </c>
      <c r="BG34">
        <f>BG26+BG33*BG27</f>
        <v>99.144000000000005</v>
      </c>
      <c r="BH34" s="25" t="s">
        <v>456</v>
      </c>
      <c r="BJ34" s="25" t="s">
        <v>469</v>
      </c>
      <c r="BK34">
        <f>BK26+BK33*BK27</f>
        <v>95.902000000000001</v>
      </c>
      <c r="BL34" s="25" t="s">
        <v>456</v>
      </c>
      <c r="BN34" s="25" t="s">
        <v>469</v>
      </c>
      <c r="BO34">
        <f>BO26+BO33*BO27</f>
        <v>96.025000000000006</v>
      </c>
      <c r="BP34" s="25" t="s">
        <v>456</v>
      </c>
      <c r="BR34" s="25" t="s">
        <v>469</v>
      </c>
      <c r="BS34">
        <f>BS26+BS33*BS27</f>
        <v>95.840500000000006</v>
      </c>
      <c r="BT34" s="25" t="s">
        <v>456</v>
      </c>
      <c r="BV34" s="25" t="s">
        <v>469</v>
      </c>
      <c r="BW34">
        <f>BW26+BW33*BW27</f>
        <v>94.859200000000001</v>
      </c>
      <c r="BX34" s="25" t="s">
        <v>456</v>
      </c>
    </row>
    <row r="35" spans="2:76">
      <c r="B35" s="25" t="s">
        <v>470</v>
      </c>
      <c r="C35" s="25" t="s">
        <v>589</v>
      </c>
      <c r="F35" s="25" t="s">
        <v>470</v>
      </c>
      <c r="G35">
        <v>1.8939999999999999</v>
      </c>
      <c r="J35" s="25" t="s">
        <v>470</v>
      </c>
      <c r="K35">
        <v>1.266</v>
      </c>
      <c r="N35" s="25" t="s">
        <v>470</v>
      </c>
      <c r="O35">
        <v>0.86699999999999999</v>
      </c>
      <c r="R35" s="25" t="s">
        <v>470</v>
      </c>
      <c r="S35">
        <v>1.972</v>
      </c>
      <c r="V35" s="25" t="s">
        <v>470</v>
      </c>
      <c r="W35">
        <v>1.3129999999999999</v>
      </c>
      <c r="Z35" s="25" t="s">
        <v>470</v>
      </c>
      <c r="AA35">
        <v>0.84499999999999997</v>
      </c>
      <c r="AD35" s="25" t="s">
        <v>470</v>
      </c>
      <c r="AE35">
        <v>0.84499999999999997</v>
      </c>
      <c r="AH35" s="25" t="s">
        <v>470</v>
      </c>
      <c r="AI35">
        <v>0.86099999999999999</v>
      </c>
      <c r="AL35" s="25" t="s">
        <v>470</v>
      </c>
      <c r="AM35">
        <v>0.89600000000000002</v>
      </c>
      <c r="AP35" s="25" t="s">
        <v>470</v>
      </c>
      <c r="AQ35">
        <v>0.81799999999999995</v>
      </c>
      <c r="AT35" s="25" t="s">
        <v>470</v>
      </c>
      <c r="AU35">
        <v>0.58899999999999997</v>
      </c>
      <c r="AX35" s="25" t="s">
        <v>470</v>
      </c>
      <c r="AY35">
        <v>0.46400000000000002</v>
      </c>
      <c r="BB35" s="25" t="s">
        <v>470</v>
      </c>
      <c r="BC35">
        <v>0.71899999999999997</v>
      </c>
      <c r="BF35" s="25" t="s">
        <v>470</v>
      </c>
      <c r="BG35">
        <v>0.47699999999999998</v>
      </c>
      <c r="BJ35" s="25" t="s">
        <v>470</v>
      </c>
      <c r="BK35">
        <v>0.58699999999999997</v>
      </c>
      <c r="BN35" s="25" t="s">
        <v>470</v>
      </c>
      <c r="BO35">
        <v>0.32600000000000001</v>
      </c>
      <c r="BR35" s="25" t="s">
        <v>470</v>
      </c>
      <c r="BS35">
        <v>0.25800000000000001</v>
      </c>
      <c r="BV35" s="25" t="s">
        <v>470</v>
      </c>
      <c r="BW35">
        <v>0.27300000000000002</v>
      </c>
    </row>
    <row r="37" spans="2:76" ht="18">
      <c r="B37" s="212" t="s">
        <v>81</v>
      </c>
    </row>
    <row r="38" spans="2:76">
      <c r="B38" s="25" t="s">
        <v>471</v>
      </c>
      <c r="F38" s="25" t="s">
        <v>471</v>
      </c>
      <c r="J38" s="25" t="s">
        <v>471</v>
      </c>
      <c r="N38" s="25" t="s">
        <v>471</v>
      </c>
      <c r="R38" s="25" t="s">
        <v>471</v>
      </c>
      <c r="V38" s="25" t="s">
        <v>471</v>
      </c>
      <c r="Z38" s="25" t="s">
        <v>471</v>
      </c>
      <c r="AD38" s="25" t="s">
        <v>471</v>
      </c>
      <c r="AH38" s="25" t="s">
        <v>471</v>
      </c>
      <c r="AL38" s="25" t="s">
        <v>471</v>
      </c>
      <c r="AP38" s="25" t="s">
        <v>471</v>
      </c>
      <c r="AT38" s="25" t="s">
        <v>471</v>
      </c>
      <c r="AX38" s="25" t="s">
        <v>471</v>
      </c>
      <c r="BB38" s="25" t="s">
        <v>471</v>
      </c>
      <c r="BF38" s="25" t="s">
        <v>471</v>
      </c>
      <c r="BJ38" s="25" t="s">
        <v>471</v>
      </c>
      <c r="BN38" s="25" t="s">
        <v>471</v>
      </c>
      <c r="BR38" s="25" t="s">
        <v>471</v>
      </c>
      <c r="BV38" s="25" t="s">
        <v>471</v>
      </c>
    </row>
    <row r="39" spans="2:76">
      <c r="B39" s="25">
        <v>0.01</v>
      </c>
      <c r="C39" s="3">
        <f>'Design Calculator'!H57</f>
        <v>200</v>
      </c>
      <c r="D39" s="25" t="s">
        <v>25</v>
      </c>
      <c r="F39" s="25">
        <v>0.01</v>
      </c>
      <c r="G39" s="3">
        <v>400</v>
      </c>
      <c r="H39" s="25" t="s">
        <v>25</v>
      </c>
      <c r="J39" s="25">
        <v>0.01</v>
      </c>
      <c r="K39" s="168">
        <v>400</v>
      </c>
      <c r="L39" s="25" t="s">
        <v>25</v>
      </c>
      <c r="N39" s="25">
        <v>0.01</v>
      </c>
      <c r="O39" s="168">
        <v>400</v>
      </c>
      <c r="P39" s="25" t="s">
        <v>25</v>
      </c>
      <c r="R39" s="25">
        <v>0.01</v>
      </c>
      <c r="S39" s="168">
        <v>400</v>
      </c>
      <c r="T39" s="25" t="s">
        <v>25</v>
      </c>
      <c r="V39" s="25">
        <v>0.01</v>
      </c>
      <c r="W39" s="168">
        <v>400</v>
      </c>
      <c r="X39" s="25" t="s">
        <v>25</v>
      </c>
      <c r="Z39" s="25">
        <v>0.01</v>
      </c>
      <c r="AA39" s="168">
        <f>36326*VINMAX^-1.677</f>
        <v>203.69236135141341</v>
      </c>
      <c r="AB39" s="25" t="s">
        <v>25</v>
      </c>
      <c r="AD39" s="25">
        <v>0.01</v>
      </c>
      <c r="AE39" s="168">
        <v>400</v>
      </c>
      <c r="AF39" s="25" t="s">
        <v>25</v>
      </c>
      <c r="AH39" s="25">
        <v>0.01</v>
      </c>
      <c r="AI39" s="168">
        <v>400</v>
      </c>
      <c r="AJ39" s="25" t="s">
        <v>25</v>
      </c>
      <c r="AL39" s="25">
        <v>0.01</v>
      </c>
      <c r="AM39" s="168">
        <f>30220*VINMAX^-1.615</f>
        <v>205.24936892300542</v>
      </c>
      <c r="AN39" s="25" t="s">
        <v>25</v>
      </c>
      <c r="AP39" s="25">
        <v>0.01</v>
      </c>
      <c r="AQ39" s="168">
        <v>400</v>
      </c>
      <c r="AR39" s="25" t="s">
        <v>25</v>
      </c>
      <c r="AT39" s="25">
        <v>0.01</v>
      </c>
      <c r="AU39" s="168">
        <f>20185*VINMAX^-1.526</f>
        <v>180.50604174103447</v>
      </c>
      <c r="AV39" s="25" t="s">
        <v>25</v>
      </c>
      <c r="AX39" s="25">
        <v>0.01</v>
      </c>
      <c r="AY39" s="168">
        <f>19093*VINMAX^-1.564</f>
        <v>151.81864107625896</v>
      </c>
      <c r="AZ39" s="25" t="s">
        <v>25</v>
      </c>
      <c r="BB39" s="25">
        <v>0.01</v>
      </c>
      <c r="BC39" s="168">
        <f>26533.896*VINMAX^-1.640895</f>
        <v>166.35136074886347</v>
      </c>
      <c r="BD39" s="25" t="s">
        <v>25</v>
      </c>
      <c r="BF39" s="25">
        <v>0.01</v>
      </c>
      <c r="BG39" s="168">
        <f>2759.3*VINMAX^-1</f>
        <v>125.42272727272729</v>
      </c>
      <c r="BH39" s="25" t="s">
        <v>25</v>
      </c>
      <c r="BJ39" s="25">
        <v>0.01</v>
      </c>
      <c r="BK39" s="168">
        <f>3718*VINMAX^-1</f>
        <v>169</v>
      </c>
      <c r="BL39" s="25" t="s">
        <v>25</v>
      </c>
      <c r="BN39" s="25">
        <v>0.01</v>
      </c>
      <c r="BO39" s="168">
        <f>5949.5*VINMAX^-1</f>
        <v>270.43181818181819</v>
      </c>
      <c r="BP39" s="25" t="s">
        <v>25</v>
      </c>
      <c r="BR39" s="25">
        <v>0.01</v>
      </c>
      <c r="BS39" s="168">
        <v>156</v>
      </c>
      <c r="BT39" s="25" t="s">
        <v>25</v>
      </c>
      <c r="BV39" s="25">
        <v>0.01</v>
      </c>
      <c r="BW39" s="168">
        <f>6156.5*VINMAX^-1.437</f>
        <v>72.489063902387073</v>
      </c>
      <c r="BX39" s="25" t="s">
        <v>25</v>
      </c>
    </row>
    <row r="40" spans="2:76">
      <c r="B40" s="25">
        <v>0.1</v>
      </c>
      <c r="C40" s="3">
        <f>'Design Calculator'!H58</f>
        <v>90</v>
      </c>
      <c r="D40" s="25" t="s">
        <v>25</v>
      </c>
      <c r="F40" s="25">
        <v>0.1</v>
      </c>
      <c r="G40" s="3">
        <f>7200*VINMAX^-1</f>
        <v>327.27272727272731</v>
      </c>
      <c r="H40" s="25" t="s">
        <v>25</v>
      </c>
      <c r="J40" s="25">
        <v>0.1</v>
      </c>
      <c r="K40" s="168">
        <f>7200*VINMAX^-1</f>
        <v>327.27272727272731</v>
      </c>
      <c r="L40" s="25" t="s">
        <v>25</v>
      </c>
      <c r="N40" s="25">
        <v>0.1</v>
      </c>
      <c r="O40" s="168">
        <f>210787.85*VINMAX^-2.205</f>
        <v>231.10192495122752</v>
      </c>
      <c r="P40" s="25" t="s">
        <v>25</v>
      </c>
      <c r="R40" s="25">
        <v>0.1</v>
      </c>
      <c r="S40" s="168">
        <f>9600*VINMAX^-1</f>
        <v>436.36363636363637</v>
      </c>
      <c r="T40" s="25" t="s">
        <v>25</v>
      </c>
      <c r="V40" s="25">
        <v>0.1</v>
      </c>
      <c r="W40" s="168">
        <f>6024*VINMAX^-1</f>
        <v>273.81818181818181</v>
      </c>
      <c r="X40" s="25" t="s">
        <v>25</v>
      </c>
      <c r="Z40" s="25">
        <v>0.1</v>
      </c>
      <c r="AA40" s="168">
        <f>9058.8*VINMAX^-1.677</f>
        <v>50.795803639546982</v>
      </c>
      <c r="AB40" s="25" t="s">
        <v>25</v>
      </c>
      <c r="AD40" s="25">
        <v>0.1</v>
      </c>
      <c r="AE40" s="168">
        <f>254877.35*VINMAX^-2.292</f>
        <v>213.54945067653816</v>
      </c>
      <c r="AF40" s="25" t="s">
        <v>25</v>
      </c>
      <c r="AH40" s="25">
        <v>0.1</v>
      </c>
      <c r="AI40" s="168">
        <f>23236.2*VINMAX^-1.559</f>
        <v>187.64117616178328</v>
      </c>
      <c r="AJ40" s="25" t="s">
        <v>25</v>
      </c>
      <c r="AL40" s="25">
        <v>0.1</v>
      </c>
      <c r="AM40" s="168">
        <f>7262.7*VINMAX^-1.615</f>
        <v>49.327087745768083</v>
      </c>
      <c r="AN40" s="25" t="s">
        <v>25</v>
      </c>
      <c r="AP40" s="25">
        <v>0.1</v>
      </c>
      <c r="AQ40" s="168">
        <f>25472*VINMAX^-1.733</f>
        <v>120.12808120776921</v>
      </c>
      <c r="AR40" s="25" t="s">
        <v>25</v>
      </c>
      <c r="AT40" s="25">
        <v>0.1</v>
      </c>
      <c r="AU40" s="168">
        <f>5027.2*VINMAX^-1.526</f>
        <v>44.95615422544109</v>
      </c>
      <c r="AV40" s="25" t="s">
        <v>25</v>
      </c>
      <c r="AX40" s="25">
        <v>0.1</v>
      </c>
      <c r="AY40" s="168">
        <f>3987.9*VINMAX^-1.564</f>
        <v>31.709922942859329</v>
      </c>
      <c r="AZ40" s="25" t="s">
        <v>25</v>
      </c>
      <c r="BB40" s="25">
        <v>0.1</v>
      </c>
      <c r="BC40" s="168">
        <f>450*VINMAX^-1</f>
        <v>20.454545454545457</v>
      </c>
      <c r="BD40" s="25" t="s">
        <v>25</v>
      </c>
      <c r="BF40" s="25">
        <v>0.1</v>
      </c>
      <c r="BG40" s="168">
        <f>2213.6*VINMAX^-1.334</f>
        <v>35.83499019005685</v>
      </c>
      <c r="BH40" s="25" t="s">
        <v>25</v>
      </c>
      <c r="BJ40" s="25">
        <v>0.1</v>
      </c>
      <c r="BK40" s="168">
        <f>2786.8*VINMAX^-1.436</f>
        <v>32.914467413723919</v>
      </c>
      <c r="BL40" s="25" t="s">
        <v>25</v>
      </c>
      <c r="BN40" s="25">
        <v>0.1</v>
      </c>
      <c r="BO40" s="168">
        <f>3055.1*VINMAX^-1.399</f>
        <v>40.455362752958472</v>
      </c>
      <c r="BP40" s="25" t="s">
        <v>25</v>
      </c>
      <c r="BR40" s="25">
        <v>0.1</v>
      </c>
      <c r="BS40" s="168">
        <f>8287.2884*VINMAX^-1.6338</f>
        <v>53.108284946923227</v>
      </c>
      <c r="BT40" s="25" t="s">
        <v>25</v>
      </c>
      <c r="BV40" s="25">
        <v>0.1</v>
      </c>
      <c r="BW40" s="168">
        <f>1328.6*VINMAX^-1.437</f>
        <v>15.643461431123439</v>
      </c>
      <c r="BX40" s="25" t="s">
        <v>25</v>
      </c>
    </row>
    <row r="41" spans="2:76">
      <c r="B41" s="25">
        <v>1</v>
      </c>
      <c r="C41" s="3">
        <f>'Design Calculator'!H59</f>
        <v>40</v>
      </c>
      <c r="D41" s="25" t="s">
        <v>25</v>
      </c>
      <c r="F41" s="25">
        <v>1</v>
      </c>
      <c r="G41" s="3">
        <f>18540.6*VINMAX^-1.848</f>
        <v>61.281116643133821</v>
      </c>
      <c r="H41" s="25" t="s">
        <v>25</v>
      </c>
      <c r="J41" s="25">
        <v>1</v>
      </c>
      <c r="K41" s="168">
        <f>10892.05*VINMAX^-1.811</f>
        <v>40.362880426103516</v>
      </c>
      <c r="L41" s="25" t="s">
        <v>25</v>
      </c>
      <c r="N41" s="25">
        <v>1</v>
      </c>
      <c r="O41" s="168">
        <f>5035.355*VINMAX^-1.742</f>
        <v>23.095628457895071</v>
      </c>
      <c r="P41" s="25" t="s">
        <v>25</v>
      </c>
      <c r="R41" s="25">
        <v>1</v>
      </c>
      <c r="S41" s="168">
        <f>8530.6*VINMAX^-1.677</f>
        <v>47.834004782920424</v>
      </c>
      <c r="T41" s="25" t="s">
        <v>25</v>
      </c>
      <c r="V41" s="25">
        <v>1</v>
      </c>
      <c r="W41" s="168">
        <f>4926.09*VINMAX^-1.645</f>
        <v>30.494185104977909</v>
      </c>
      <c r="X41" s="25" t="s">
        <v>25</v>
      </c>
      <c r="Z41" s="25">
        <v>1</v>
      </c>
      <c r="AA41" s="168">
        <f>2847.4*VINMAX^-1.677</f>
        <v>15.966349989319346</v>
      </c>
      <c r="AB41" s="25" t="s">
        <v>25</v>
      </c>
      <c r="AD41" s="25">
        <v>1</v>
      </c>
      <c r="AE41" s="168">
        <f>3649.035*VINMAX^-1.776</f>
        <v>15.067296959572634</v>
      </c>
      <c r="AF41" s="25" t="s">
        <v>25</v>
      </c>
      <c r="AH41" s="25">
        <v>1</v>
      </c>
      <c r="AI41" s="168">
        <f>4614.61*VINMAX^-1.711</f>
        <v>23.29430706230281</v>
      </c>
      <c r="AJ41" s="25" t="s">
        <v>25</v>
      </c>
      <c r="AL41" s="25">
        <v>1</v>
      </c>
      <c r="AM41" s="168">
        <f>2213.6*VINMAX^-1.615</f>
        <v>15.034414396027955</v>
      </c>
      <c r="AN41" s="25" t="s">
        <v>25</v>
      </c>
      <c r="AP41" s="25">
        <v>1</v>
      </c>
      <c r="AQ41" s="168">
        <f>5126.7*VINMAX^-1.733</f>
        <v>24.177945741515014</v>
      </c>
      <c r="AR41" s="25" t="s">
        <v>25</v>
      </c>
      <c r="AT41" s="25">
        <v>1</v>
      </c>
      <c r="AU41" s="168">
        <f>1653.3*VINMAX^-1.526</f>
        <v>14.784772792194811</v>
      </c>
      <c r="AV41" s="25" t="s">
        <v>25</v>
      </c>
      <c r="AX41" s="25">
        <v>1</v>
      </c>
      <c r="AY41" s="168">
        <f>1139.3*VINMAX^-1.564</f>
        <v>9.0591828302614488</v>
      </c>
      <c r="AZ41" s="25" t="s">
        <v>25</v>
      </c>
      <c r="BB41" s="25">
        <v>1</v>
      </c>
      <c r="BC41" s="168">
        <f>270.803*VINMAX^-1.12</f>
        <v>8.4945439698727814</v>
      </c>
      <c r="BD41" s="25" t="s">
        <v>25</v>
      </c>
      <c r="BF41" s="25">
        <v>1</v>
      </c>
      <c r="BG41" s="168">
        <f>700*VINMAX^-1.334</f>
        <v>11.331990031188921</v>
      </c>
      <c r="BH41" s="25" t="s">
        <v>25</v>
      </c>
      <c r="BJ41" s="25">
        <v>1</v>
      </c>
      <c r="BK41" s="168">
        <f>700*VINMAX^-1.436</f>
        <v>8.2675926473398675</v>
      </c>
      <c r="BL41" s="25" t="s">
        <v>25</v>
      </c>
      <c r="BN41" s="25">
        <v>1</v>
      </c>
      <c r="BO41" s="168">
        <f>556.03*VINMAX^-1.399</f>
        <v>7.3628998564785109</v>
      </c>
      <c r="BP41" s="25" t="s">
        <v>25</v>
      </c>
      <c r="BR41" s="25">
        <v>1</v>
      </c>
      <c r="BS41" s="168">
        <f>1050.9707*VINMAX^-1.64545</f>
        <v>6.4968255936262835</v>
      </c>
      <c r="BT41" s="25" t="s">
        <v>25</v>
      </c>
      <c r="BV41" s="25">
        <v>1</v>
      </c>
      <c r="BW41" s="168">
        <f>412.19*VINMAX^-1.437</f>
        <v>4.8532879476853612</v>
      </c>
      <c r="BX41" s="25" t="s">
        <v>25</v>
      </c>
    </row>
    <row r="42" spans="2:76">
      <c r="B42" s="25">
        <v>10</v>
      </c>
      <c r="C42" s="3">
        <f>'Design Calculator'!H60</f>
        <v>10</v>
      </c>
      <c r="D42" s="25" t="s">
        <v>25</v>
      </c>
      <c r="F42" s="25">
        <v>10</v>
      </c>
      <c r="G42" s="3">
        <f>4210.83*VINMAX^-1.786</f>
        <v>16.857796248960611</v>
      </c>
      <c r="H42" s="25" t="s">
        <v>25</v>
      </c>
      <c r="J42" s="25">
        <v>10</v>
      </c>
      <c r="K42" s="168">
        <f>2539.81*VINMAX^-1.762</f>
        <v>10.950966872772515</v>
      </c>
      <c r="L42" s="25" t="s">
        <v>25</v>
      </c>
      <c r="N42" s="25">
        <v>10</v>
      </c>
      <c r="O42" s="168">
        <f>1366.82*VINMAX^-1.659</f>
        <v>8.1027436190815365</v>
      </c>
      <c r="P42" s="25" t="s">
        <v>25</v>
      </c>
      <c r="R42" s="25">
        <v>10</v>
      </c>
      <c r="S42" s="168">
        <f>1565.525*VINMAX^-1.487</f>
        <v>15.793467131410917</v>
      </c>
      <c r="T42" s="25" t="s">
        <v>25</v>
      </c>
      <c r="V42" s="25">
        <v>10</v>
      </c>
      <c r="W42" s="168">
        <f>1494.22*VINMAX^-1.647</f>
        <v>9.1927275692829049</v>
      </c>
      <c r="X42" s="25" t="s">
        <v>25</v>
      </c>
      <c r="Z42" s="25">
        <v>10</v>
      </c>
      <c r="AA42" s="168">
        <f>1085.4*VINMAX^-1.677</f>
        <v>6.0862106758471652</v>
      </c>
      <c r="AB42" s="25" t="s">
        <v>25</v>
      </c>
      <c r="AD42" s="25">
        <v>10</v>
      </c>
      <c r="AE42" s="168">
        <f>1388.79*VINMAX^-1.801</f>
        <v>5.3080295574204372</v>
      </c>
      <c r="AF42" s="25" t="s">
        <v>25</v>
      </c>
      <c r="AH42" s="25">
        <v>10</v>
      </c>
      <c r="AI42" s="168">
        <f>1390.155*VINMAX^-1.765</f>
        <v>5.9386426699578658</v>
      </c>
      <c r="AJ42" s="25" t="s">
        <v>25</v>
      </c>
      <c r="AL42" s="25">
        <v>10</v>
      </c>
      <c r="AM42" s="168">
        <f>822.43*VINMAX^-1.615</f>
        <v>5.5858119948162592</v>
      </c>
      <c r="AN42" s="25" t="s">
        <v>25</v>
      </c>
      <c r="AP42" s="25">
        <v>10</v>
      </c>
      <c r="AQ42" s="168">
        <f>1760.7*VINMAX^-1.733</f>
        <v>8.3036083771403604</v>
      </c>
      <c r="AR42" s="25" t="s">
        <v>25</v>
      </c>
      <c r="AT42" s="25">
        <v>10</v>
      </c>
      <c r="AU42" s="168">
        <f>679.18*VINMAX^-1.526</f>
        <v>6.0736236526963472</v>
      </c>
      <c r="AV42" s="25" t="s">
        <v>25</v>
      </c>
      <c r="AX42" s="25">
        <v>10</v>
      </c>
      <c r="AY42" s="168">
        <f>418.17*VINMAX^-1.564</f>
        <v>3.3250930256564821</v>
      </c>
      <c r="AZ42" s="25" t="s">
        <v>25</v>
      </c>
      <c r="BB42" s="25">
        <v>10</v>
      </c>
      <c r="BC42" s="168">
        <f>407.4016*VINMAX^-1.56317</f>
        <v>3.247789461764031</v>
      </c>
      <c r="BD42" s="25" t="s">
        <v>25</v>
      </c>
      <c r="BF42" s="25">
        <v>10</v>
      </c>
      <c r="BG42" s="168">
        <f>278.68*VINMAX^-1.334</f>
        <v>4.5114271169881839</v>
      </c>
      <c r="BH42" s="25" t="s">
        <v>25</v>
      </c>
      <c r="BJ42" s="25">
        <v>10</v>
      </c>
      <c r="BK42" s="168">
        <f>226.52*VINMAX^-1.436</f>
        <v>2.675392980679181</v>
      </c>
      <c r="BL42" s="25" t="s">
        <v>25</v>
      </c>
      <c r="BN42" s="25">
        <v>10</v>
      </c>
      <c r="BO42" s="168">
        <f>197.29*VINMAX^-1.399</f>
        <v>2.6124966506926701</v>
      </c>
      <c r="BP42" s="25" t="s">
        <v>25</v>
      </c>
      <c r="BR42" s="25">
        <v>10</v>
      </c>
      <c r="BS42" s="168">
        <f>13.3098*VINMAX^-0.761056</f>
        <v>1.266230277087014</v>
      </c>
      <c r="BT42" s="25" t="s">
        <v>25</v>
      </c>
      <c r="BV42" s="25">
        <v>10</v>
      </c>
      <c r="BW42" s="168">
        <f>167.92*VINMAX^-1.437</f>
        <v>1.9771564379905524</v>
      </c>
      <c r="BX42" s="25" t="s">
        <v>25</v>
      </c>
    </row>
    <row r="43" spans="2:76">
      <c r="B43" s="25">
        <v>100</v>
      </c>
      <c r="C43" s="3">
        <f>'Design Calculator'!H61</f>
        <v>8</v>
      </c>
      <c r="D43" s="25" t="s">
        <v>25</v>
      </c>
      <c r="F43" s="25">
        <v>100</v>
      </c>
      <c r="G43" s="3">
        <f>795.6*VINMAX^-1.492</f>
        <v>7.9031483592458951</v>
      </c>
      <c r="H43" s="25" t="s">
        <v>25</v>
      </c>
      <c r="J43" s="25">
        <v>100</v>
      </c>
      <c r="K43" s="168">
        <f>1006.005*VINMAX^-1.605</f>
        <v>7.0471211308055244</v>
      </c>
      <c r="L43" s="25" t="s">
        <v>25</v>
      </c>
      <c r="N43" s="25">
        <v>100</v>
      </c>
      <c r="O43" s="168">
        <f>108.017*VINMAX^-1.122</f>
        <v>3.3673934545713862</v>
      </c>
      <c r="P43" s="25" t="s">
        <v>25</v>
      </c>
      <c r="R43" s="25">
        <v>100</v>
      </c>
      <c r="S43" s="168">
        <f>334.6265*VINMAX^-1.214</f>
        <v>7.8498109294453453</v>
      </c>
      <c r="T43" s="25" t="s">
        <v>25</v>
      </c>
      <c r="V43" s="25">
        <v>100</v>
      </c>
      <c r="W43" s="168">
        <f>351.234*VINMAX^-1.35</f>
        <v>5.4116030209087382</v>
      </c>
      <c r="X43" s="25" t="s">
        <v>25</v>
      </c>
      <c r="Z43" s="25">
        <v>100</v>
      </c>
      <c r="AA43" s="168">
        <f>314.18*VINMAX^-1.677</f>
        <v>1.7617151926825707</v>
      </c>
      <c r="AB43" s="25" t="s">
        <v>25</v>
      </c>
      <c r="AD43" s="25">
        <v>100</v>
      </c>
      <c r="AE43" s="168">
        <f>144.5275*VINMAX^-1.28</f>
        <v>2.7647092080521714</v>
      </c>
      <c r="AF43" s="25" t="s">
        <v>25</v>
      </c>
      <c r="AH43" s="25">
        <v>100</v>
      </c>
      <c r="AI43" s="168">
        <f>695.825*VINMAX^-1.644</f>
        <v>4.3207301259686117</v>
      </c>
      <c r="AJ43" s="25" t="s">
        <v>25</v>
      </c>
      <c r="AL43" s="25">
        <v>100</v>
      </c>
      <c r="AM43" s="168">
        <f>266.13*VINMAX^-1.615</f>
        <v>1.8075120632521322</v>
      </c>
      <c r="AN43" s="25" t="s">
        <v>25</v>
      </c>
      <c r="AP43" s="25">
        <v>100</v>
      </c>
      <c r="AQ43" s="168">
        <f>1037.9*VINMAX^-1.733</f>
        <v>4.8948231581950248</v>
      </c>
      <c r="AR43" s="25" t="s">
        <v>25</v>
      </c>
      <c r="AT43" s="25">
        <v>100</v>
      </c>
      <c r="AU43" s="168">
        <f>180.1*VINMAX^-1.526</f>
        <v>1.6105592329730147</v>
      </c>
      <c r="AV43" s="25" t="s">
        <v>25</v>
      </c>
      <c r="AX43" s="25">
        <v>100</v>
      </c>
      <c r="AY43" s="168">
        <f>157.27*VINMAX^-1.564</f>
        <v>1.2505377720663724</v>
      </c>
      <c r="AZ43" s="25" t="s">
        <v>25</v>
      </c>
      <c r="BB43" s="25">
        <v>100</v>
      </c>
      <c r="BC43" s="168">
        <f>111.1856*VINMAX^-1.2291</f>
        <v>2.4892976380282912</v>
      </c>
      <c r="BD43" s="25" t="s">
        <v>25</v>
      </c>
      <c r="BF43" s="25">
        <v>100</v>
      </c>
      <c r="BG43" s="168">
        <f>124.48*VINMAX^-1.334</f>
        <v>2.0151515986891386</v>
      </c>
      <c r="BH43" s="25" t="s">
        <v>25</v>
      </c>
      <c r="BJ43" s="25">
        <v>100</v>
      </c>
      <c r="BK43" s="168">
        <f>175.83*VINMAX^-1.436</f>
        <v>2.0767011645453843</v>
      </c>
      <c r="BL43" s="25" t="s">
        <v>25</v>
      </c>
      <c r="BN43" s="25">
        <v>100</v>
      </c>
      <c r="BO43" s="168">
        <f>116.17*VINMAX^-1.399</f>
        <v>1.5383128182420169</v>
      </c>
      <c r="BP43" s="25" t="s">
        <v>25</v>
      </c>
      <c r="BR43" s="25">
        <v>100</v>
      </c>
      <c r="BS43" s="168">
        <f>87.16708*VINMAX^-1.583</f>
        <v>0.65357795344353842</v>
      </c>
      <c r="BT43" s="25" t="s">
        <v>25</v>
      </c>
      <c r="BV43" s="25">
        <v>100</v>
      </c>
      <c r="BW43" s="168">
        <f>84.159*VINMAX^-1.437</f>
        <v>0.9909213236353438</v>
      </c>
      <c r="BX43" s="25" t="s">
        <v>25</v>
      </c>
    </row>
    <row r="44" spans="2:76">
      <c r="BW44" s="25"/>
    </row>
    <row r="45" spans="2:76">
      <c r="B45" s="25" t="s">
        <v>472</v>
      </c>
      <c r="C45">
        <f>IF('Design Calculator'!F30="Soft Start",'Design Calculator'!F31-0.00001,'Design Calculator'!F79)</f>
        <v>299.99999000000003</v>
      </c>
      <c r="D45" s="25" t="s">
        <v>8</v>
      </c>
      <c r="F45" s="25" t="s">
        <v>472</v>
      </c>
      <c r="G45">
        <f>IF('Design Calculator'!F30="Soft Start",'Design Calculator'!F31-0.00001,'Design Calculator'!F79)</f>
        <v>299.99999000000003</v>
      </c>
      <c r="H45" s="25" t="s">
        <v>8</v>
      </c>
      <c r="J45" s="25" t="s">
        <v>472</v>
      </c>
      <c r="K45">
        <f>IF('Design Calculator'!F30="Soft Start",'Design Calculator'!F31-0.00001,'Design Calculator'!F79)</f>
        <v>299.99999000000003</v>
      </c>
      <c r="L45" s="25" t="s">
        <v>8</v>
      </c>
      <c r="N45" s="25" t="s">
        <v>472</v>
      </c>
      <c r="O45">
        <f>IF('Design Calculator'!F30="Soft Start",'Design Calculator'!F31-0.00001,'Design Calculator'!F79)</f>
        <v>299.99999000000003</v>
      </c>
      <c r="P45" s="25" t="s">
        <v>8</v>
      </c>
      <c r="R45" s="25" t="s">
        <v>472</v>
      </c>
      <c r="S45">
        <f>IF('Design Calculator'!F30="Soft Start",'Design Calculator'!F31-0.00001,'Design Calculator'!F79)</f>
        <v>299.99999000000003</v>
      </c>
      <c r="T45" s="25" t="s">
        <v>8</v>
      </c>
      <c r="V45" s="25" t="s">
        <v>472</v>
      </c>
      <c r="W45">
        <f>IF('Design Calculator'!F30="Soft Start",'Design Calculator'!F31-0.00001,'Design Calculator'!F79)</f>
        <v>299.99999000000003</v>
      </c>
      <c r="X45" s="25" t="s">
        <v>8</v>
      </c>
      <c r="Z45" s="25" t="s">
        <v>472</v>
      </c>
      <c r="AA45">
        <f>IF('Design Calculator'!F30="Soft Start",'Design Calculator'!F31-0.00001,'Design Calculator'!F79)</f>
        <v>299.99999000000003</v>
      </c>
      <c r="AB45" s="25" t="s">
        <v>8</v>
      </c>
      <c r="AD45" s="25" t="s">
        <v>472</v>
      </c>
      <c r="AE45">
        <f>IF('Design Calculator'!F30="Soft Start",'Design Calculator'!F31-0.00001,'Design Calculator'!F79)</f>
        <v>299.99999000000003</v>
      </c>
      <c r="AF45" s="25" t="s">
        <v>8</v>
      </c>
      <c r="AH45" s="25" t="s">
        <v>472</v>
      </c>
      <c r="AI45">
        <f>IF('Design Calculator'!F30="Soft Start",'Design Calculator'!F31-0.00001,'Design Calculator'!F79)</f>
        <v>299.99999000000003</v>
      </c>
      <c r="AJ45" s="25" t="s">
        <v>8</v>
      </c>
      <c r="AL45" s="25" t="s">
        <v>472</v>
      </c>
      <c r="AM45">
        <f>IF('Design Calculator'!F30="Soft Start",'Design Calculator'!F31-0.00001,'Design Calculator'!F79)</f>
        <v>299.99999000000003</v>
      </c>
      <c r="AN45" s="25" t="s">
        <v>8</v>
      </c>
      <c r="AP45" s="25" t="s">
        <v>472</v>
      </c>
      <c r="AQ45">
        <f>IF('Design Calculator'!F30="Soft Start",'Design Calculator'!F31-0.00001,'Design Calculator'!F79)</f>
        <v>299.99999000000003</v>
      </c>
      <c r="AR45" s="25" t="s">
        <v>8</v>
      </c>
      <c r="AT45" s="25" t="s">
        <v>472</v>
      </c>
      <c r="AU45">
        <f>IF('Design Calculator'!F30="Soft Start",'Design Calculator'!F31-0.00001,'Design Calculator'!F79)</f>
        <v>299.99999000000003</v>
      </c>
      <c r="AV45" s="25" t="s">
        <v>8</v>
      </c>
      <c r="AX45" s="25" t="s">
        <v>472</v>
      </c>
      <c r="AY45">
        <f>IF('Design Calculator'!F30="Soft Start",'Design Calculator'!F31-0.00001,'Design Calculator'!F79)</f>
        <v>299.99999000000003</v>
      </c>
      <c r="AZ45" s="25" t="s">
        <v>8</v>
      </c>
      <c r="BB45" s="25" t="s">
        <v>472</v>
      </c>
      <c r="BC45">
        <f>IF('Design Calculator'!F30="Soft Start",'Design Calculator'!F31-0.00001,'Design Calculator'!F79)</f>
        <v>299.99999000000003</v>
      </c>
      <c r="BD45" s="25" t="s">
        <v>8</v>
      </c>
      <c r="BF45" s="25" t="s">
        <v>472</v>
      </c>
      <c r="BG45">
        <f>IF('Design Calculator'!F30="Soft Start",'Design Calculator'!F31-0.00001,'Design Calculator'!F79)</f>
        <v>299.99999000000003</v>
      </c>
      <c r="BH45" s="25" t="s">
        <v>8</v>
      </c>
      <c r="BJ45" s="25" t="s">
        <v>472</v>
      </c>
      <c r="BK45">
        <f>IF('Design Calculator'!F30="Soft Start",'Design Calculator'!F31-0.00001,'Design Calculator'!F79)</f>
        <v>299.99999000000003</v>
      </c>
      <c r="BL45" s="25" t="s">
        <v>8</v>
      </c>
      <c r="BN45" s="25" t="s">
        <v>472</v>
      </c>
      <c r="BO45">
        <f>IF('Design Calculator'!F30="Soft Start",'Design Calculator'!F31-0.00001,'Design Calculator'!F79)</f>
        <v>299.99999000000003</v>
      </c>
      <c r="BP45" s="25" t="s">
        <v>8</v>
      </c>
      <c r="BR45" s="25" t="s">
        <v>472</v>
      </c>
      <c r="BS45">
        <f>IF('Design Calculator'!F30="Soft Start",'Design Calculator'!F31-0.00001,'Design Calculator'!F79)</f>
        <v>299.99999000000003</v>
      </c>
      <c r="BT45" s="25" t="s">
        <v>8</v>
      </c>
      <c r="BV45" s="25" t="s">
        <v>472</v>
      </c>
      <c r="BW45">
        <f>IF('Design Calculator'!F30="Soft Start",'Design Calculator'!F31-0.00001,'Design Calculator'!F79)</f>
        <v>299.99999000000003</v>
      </c>
      <c r="BX45" s="25" t="s">
        <v>8</v>
      </c>
    </row>
    <row r="47" spans="2:76">
      <c r="B47" s="25" t="s">
        <v>170</v>
      </c>
      <c r="C47">
        <f>IF(C45&gt;B42,10,IF(C45&gt;B41,1,IF(C45&gt;B40,0.1,0.01)))</f>
        <v>10</v>
      </c>
      <c r="D47" s="25" t="s">
        <v>8</v>
      </c>
      <c r="F47" s="25" t="s">
        <v>170</v>
      </c>
      <c r="G47">
        <f>IF(G45&gt;F42,10,IF(G45&gt;F41,1,IF(G45&gt;F40,0.1,0.01)))</f>
        <v>10</v>
      </c>
      <c r="H47" s="25" t="s">
        <v>8</v>
      </c>
      <c r="J47" s="25" t="s">
        <v>170</v>
      </c>
      <c r="K47">
        <f>IF(K45&gt;J42,10,IF(K45&gt;J41,1,IF(K45&gt;J40,0.1,0.01)))</f>
        <v>10</v>
      </c>
      <c r="L47" s="25" t="s">
        <v>8</v>
      </c>
      <c r="N47" s="25" t="s">
        <v>170</v>
      </c>
      <c r="O47">
        <f>IF(O45&gt;N42,10,IF(O45&gt;N41,1,IF(O45&gt;N40,0.1,0.01)))</f>
        <v>10</v>
      </c>
      <c r="P47" s="25" t="s">
        <v>8</v>
      </c>
      <c r="R47" s="25" t="s">
        <v>170</v>
      </c>
      <c r="S47">
        <f>IF(S45&gt;R42,10,IF(S45&gt;R41,1,IF(S45&gt;R40,0.1,0.01)))</f>
        <v>10</v>
      </c>
      <c r="T47" s="25" t="s">
        <v>8</v>
      </c>
      <c r="V47" s="25" t="s">
        <v>170</v>
      </c>
      <c r="W47">
        <f>IF(W45&gt;V42,10,IF(W45&gt;V41,1,IF(W45&gt;V40,0.1,0.01)))</f>
        <v>10</v>
      </c>
      <c r="X47" s="25" t="s">
        <v>8</v>
      </c>
      <c r="Z47" s="25" t="s">
        <v>170</v>
      </c>
      <c r="AA47">
        <f>IF(AA45&gt;Z42,10,IF(AA45&gt;Z41,1,IF(AA45&gt;Z40,0.1,0.01)))</f>
        <v>10</v>
      </c>
      <c r="AB47" s="25" t="s">
        <v>8</v>
      </c>
      <c r="AD47" s="25" t="s">
        <v>170</v>
      </c>
      <c r="AE47">
        <f>IF(AE45&gt;AD42,10,IF(AE45&gt;AD41,1,IF(AE45&gt;AD40,0.1,0.01)))</f>
        <v>10</v>
      </c>
      <c r="AF47" s="25" t="s">
        <v>8</v>
      </c>
      <c r="AH47" s="25" t="s">
        <v>170</v>
      </c>
      <c r="AI47">
        <f>IF(AI45&gt;AH42,10,IF(AI45&gt;AH41,1,IF(AI45&gt;AH40,0.1,0.01)))</f>
        <v>10</v>
      </c>
      <c r="AJ47" s="25" t="s">
        <v>8</v>
      </c>
      <c r="AL47" s="25" t="s">
        <v>170</v>
      </c>
      <c r="AM47">
        <f>IF(AM45&gt;AL42,10,IF(AM45&gt;AL41,1,IF(AM45&gt;AL40,0.1,0.01)))</f>
        <v>10</v>
      </c>
      <c r="AN47" s="25" t="s">
        <v>8</v>
      </c>
      <c r="AP47" s="25" t="s">
        <v>170</v>
      </c>
      <c r="AQ47">
        <f>IF(AQ45&gt;AP42,10,IF(AQ45&gt;AP41,1,IF(AQ45&gt;AP40,0.1,0.01)))</f>
        <v>10</v>
      </c>
      <c r="AR47" s="25" t="s">
        <v>8</v>
      </c>
      <c r="AT47" s="25" t="s">
        <v>170</v>
      </c>
      <c r="AU47">
        <f>IF(AU45&gt;AT42,10,IF(AU45&gt;AT41,1,IF(AU45&gt;AT40,0.1,0.01)))</f>
        <v>10</v>
      </c>
      <c r="AV47" s="25" t="s">
        <v>8</v>
      </c>
      <c r="AX47" s="25" t="s">
        <v>170</v>
      </c>
      <c r="AY47">
        <f>IF(AY45&gt;AX42,10,IF(AY45&gt;AX41,1,IF(AY45&gt;AX40,0.1,0.01)))</f>
        <v>10</v>
      </c>
      <c r="AZ47" s="25" t="s">
        <v>8</v>
      </c>
      <c r="BB47" s="25" t="s">
        <v>170</v>
      </c>
      <c r="BC47">
        <f>IF(BC45&gt;BB42,10,IF(BC45&gt;BB41,1,IF(BC45&gt;BB40,0.1,0.01)))</f>
        <v>10</v>
      </c>
      <c r="BD47" s="25" t="s">
        <v>8</v>
      </c>
      <c r="BF47" s="25" t="s">
        <v>170</v>
      </c>
      <c r="BG47">
        <f>IF(BG45&gt;BF42,10,IF(BG45&gt;BF41,1,IF(BG45&gt;BF40,0.1,0.01)))</f>
        <v>10</v>
      </c>
      <c r="BH47" s="25" t="s">
        <v>8</v>
      </c>
      <c r="BJ47" s="25" t="s">
        <v>170</v>
      </c>
      <c r="BK47">
        <f>IF(BK45&gt;BJ42,10,IF(BK45&gt;BJ41,1,IF(BK45&gt;BJ40,0.1,0.01)))</f>
        <v>10</v>
      </c>
      <c r="BL47" s="25" t="s">
        <v>8</v>
      </c>
      <c r="BN47" s="25" t="s">
        <v>170</v>
      </c>
      <c r="BO47">
        <f>IF(BO45&gt;BN42,10,IF(BO45&gt;BN41,1,IF(BO45&gt;BN40,0.1,0.01)))</f>
        <v>10</v>
      </c>
      <c r="BP47" s="25" t="s">
        <v>8</v>
      </c>
      <c r="BR47" s="25" t="s">
        <v>170</v>
      </c>
      <c r="BS47">
        <f>IF(BS45&gt;BR42,10,IF(BS45&gt;BR41,1,IF(BS45&gt;BR40,0.1,0.01)))</f>
        <v>10</v>
      </c>
      <c r="BT47" s="25" t="s">
        <v>8</v>
      </c>
      <c r="BV47" s="25" t="s">
        <v>170</v>
      </c>
      <c r="BW47">
        <f>IF(BW45&gt;BV42,10,IF(BW45&gt;BV41,1,IF(BW45&gt;BV40,0.1,0.01)))</f>
        <v>10</v>
      </c>
      <c r="BX47" s="25" t="s">
        <v>8</v>
      </c>
    </row>
    <row r="48" spans="2:76">
      <c r="B48" s="25" t="s">
        <v>473</v>
      </c>
      <c r="C48">
        <f>LOOKUP(C47,B39:B43,C39:C43)</f>
        <v>10</v>
      </c>
      <c r="D48" s="25" t="s">
        <v>25</v>
      </c>
      <c r="F48" s="25" t="s">
        <v>473</v>
      </c>
      <c r="G48">
        <f>LOOKUP(G47,F39:F43,G39:G43)</f>
        <v>16.857796248960611</v>
      </c>
      <c r="H48" s="25" t="s">
        <v>25</v>
      </c>
      <c r="J48" s="25" t="s">
        <v>473</v>
      </c>
      <c r="K48">
        <f>LOOKUP(K47,J39:J43,K39:K43)</f>
        <v>10.950966872772515</v>
      </c>
      <c r="L48" s="25" t="s">
        <v>25</v>
      </c>
      <c r="N48" s="25" t="s">
        <v>473</v>
      </c>
      <c r="O48">
        <f>LOOKUP(O47,N39:N43,O39:O43)</f>
        <v>8.1027436190815365</v>
      </c>
      <c r="P48" s="25" t="s">
        <v>25</v>
      </c>
      <c r="R48" s="25" t="s">
        <v>473</v>
      </c>
      <c r="S48">
        <f>LOOKUP(S47,R39:R43,S39:S43)</f>
        <v>15.793467131410917</v>
      </c>
      <c r="T48" s="25" t="s">
        <v>25</v>
      </c>
      <c r="V48" s="25" t="s">
        <v>473</v>
      </c>
      <c r="W48">
        <f>LOOKUP(W47,V39:V43,W39:W43)</f>
        <v>9.1927275692829049</v>
      </c>
      <c r="X48" s="25" t="s">
        <v>25</v>
      </c>
      <c r="Z48" s="25" t="s">
        <v>473</v>
      </c>
      <c r="AA48">
        <f>LOOKUP(AA47,Z39:Z43,AA39:AA43)</f>
        <v>6.0862106758471652</v>
      </c>
      <c r="AB48" s="25" t="s">
        <v>25</v>
      </c>
      <c r="AD48" s="25" t="s">
        <v>473</v>
      </c>
      <c r="AE48">
        <f>LOOKUP(AE47,AD39:AD43,AE39:AE43)</f>
        <v>5.3080295574204372</v>
      </c>
      <c r="AF48" s="25" t="s">
        <v>25</v>
      </c>
      <c r="AH48" s="25" t="s">
        <v>473</v>
      </c>
      <c r="AI48">
        <f>LOOKUP(AI47,AH39:AH43,AI39:AI43)</f>
        <v>5.9386426699578658</v>
      </c>
      <c r="AJ48" s="25" t="s">
        <v>25</v>
      </c>
      <c r="AL48" s="25" t="s">
        <v>473</v>
      </c>
      <c r="AM48">
        <f>LOOKUP(AM47,AL39:AL43,AM39:AM43)</f>
        <v>5.5858119948162592</v>
      </c>
      <c r="AN48" s="25" t="s">
        <v>25</v>
      </c>
      <c r="AP48" s="25" t="s">
        <v>473</v>
      </c>
      <c r="AQ48">
        <f>LOOKUP(AQ47,AP39:AP43,AQ39:AQ43)</f>
        <v>8.3036083771403604</v>
      </c>
      <c r="AR48" s="25" t="s">
        <v>25</v>
      </c>
      <c r="AT48" s="25" t="s">
        <v>473</v>
      </c>
      <c r="AU48">
        <f>LOOKUP(AU47,AT39:AT43,AU39:AU43)</f>
        <v>6.0736236526963472</v>
      </c>
      <c r="AV48" s="25" t="s">
        <v>25</v>
      </c>
      <c r="AX48" s="25" t="s">
        <v>473</v>
      </c>
      <c r="AY48">
        <f>LOOKUP(AY47,AX39:AX43,AY39:AY43)</f>
        <v>3.3250930256564821</v>
      </c>
      <c r="AZ48" s="25" t="s">
        <v>25</v>
      </c>
      <c r="BB48" s="25" t="s">
        <v>473</v>
      </c>
      <c r="BC48">
        <f>LOOKUP(BC47,BB39:BB43,BC39:BC43)</f>
        <v>3.247789461764031</v>
      </c>
      <c r="BD48" s="25" t="s">
        <v>25</v>
      </c>
      <c r="BF48" s="25" t="s">
        <v>473</v>
      </c>
      <c r="BG48">
        <f>LOOKUP(BG47,BF39:BF43,BG39:BG43)</f>
        <v>4.5114271169881839</v>
      </c>
      <c r="BH48" s="25" t="s">
        <v>25</v>
      </c>
      <c r="BJ48" s="25" t="s">
        <v>473</v>
      </c>
      <c r="BK48">
        <f>LOOKUP(BK47,BJ39:BJ43,BK39:BK43)</f>
        <v>2.675392980679181</v>
      </c>
      <c r="BL48" s="25" t="s">
        <v>25</v>
      </c>
      <c r="BN48" s="25" t="s">
        <v>473</v>
      </c>
      <c r="BO48">
        <f>LOOKUP(BO47,BN39:BN43,BO39:BO43)</f>
        <v>2.6124966506926701</v>
      </c>
      <c r="BP48" s="25" t="s">
        <v>25</v>
      </c>
      <c r="BR48" s="25" t="s">
        <v>473</v>
      </c>
      <c r="BS48">
        <f>LOOKUP(BS47,BR39:BR43,BS39:BS43)</f>
        <v>1.266230277087014</v>
      </c>
      <c r="BT48" s="25" t="s">
        <v>25</v>
      </c>
      <c r="BV48" s="25" t="s">
        <v>473</v>
      </c>
      <c r="BW48">
        <f>LOOKUP(BW47,BV39:BV43,BW39:BW43)</f>
        <v>1.9771564379905524</v>
      </c>
      <c r="BX48" s="25" t="s">
        <v>25</v>
      </c>
    </row>
    <row r="49" spans="2:76">
      <c r="B49" s="25" t="s">
        <v>474</v>
      </c>
      <c r="C49">
        <f>IF(C45&lt;B39,0.01,IF(C45&lt;B40,0.1,IF(C45&lt;B41,1,IF(C45&lt;B42,10,100))))</f>
        <v>100</v>
      </c>
      <c r="D49" s="25" t="s">
        <v>8</v>
      </c>
      <c r="F49" s="25" t="s">
        <v>474</v>
      </c>
      <c r="G49">
        <f>IF(G45&lt;F39,0.01,IF(G45&lt;F40,0.1,IF(G45&lt;F41,1,IF(G45&lt;F42,10,100))))</f>
        <v>100</v>
      </c>
      <c r="H49" s="25" t="s">
        <v>8</v>
      </c>
      <c r="J49" s="25" t="s">
        <v>474</v>
      </c>
      <c r="K49">
        <f>IF(K45&lt;J39,0.01,IF(K45&lt;J40,0.1,IF(K45&lt;J41,1,IF(K45&lt;J42,10,100))))</f>
        <v>100</v>
      </c>
      <c r="L49" s="25" t="s">
        <v>8</v>
      </c>
      <c r="N49" s="25" t="s">
        <v>474</v>
      </c>
      <c r="O49">
        <f>IF(O45&lt;N39,0.01,IF(O45&lt;N40,0.1,IF(O45&lt;N41,1,IF(O45&lt;N42,10,100))))</f>
        <v>100</v>
      </c>
      <c r="P49" s="25" t="s">
        <v>8</v>
      </c>
      <c r="R49" s="25" t="s">
        <v>474</v>
      </c>
      <c r="S49">
        <f>IF(S45&lt;R39,0.01,IF(S45&lt;R40,0.1,IF(S45&lt;R41,1,IF(S45&lt;R42,10,100))))</f>
        <v>100</v>
      </c>
      <c r="T49" s="25" t="s">
        <v>8</v>
      </c>
      <c r="V49" s="25" t="s">
        <v>474</v>
      </c>
      <c r="W49">
        <f>IF(W45&lt;V39,0.01,IF(W45&lt;V40,0.1,IF(W45&lt;V41,1,IF(W45&lt;V42,10,100))))</f>
        <v>100</v>
      </c>
      <c r="X49" s="25" t="s">
        <v>8</v>
      </c>
      <c r="Z49" s="25" t="s">
        <v>474</v>
      </c>
      <c r="AA49">
        <f>IF(AA45&lt;Z39,0.01,IF(AA45&lt;Z40,0.1,IF(AA45&lt;Z41,1,IF(AA45&lt;Z42,10,100))))</f>
        <v>100</v>
      </c>
      <c r="AB49" s="25" t="s">
        <v>8</v>
      </c>
      <c r="AD49" s="25" t="s">
        <v>474</v>
      </c>
      <c r="AE49">
        <f>IF(AE45&lt;AD39,0.01,IF(AE45&lt;AD40,0.1,IF(AE45&lt;AD41,1,IF(AE45&lt;AD42,10,100))))</f>
        <v>100</v>
      </c>
      <c r="AF49" s="25" t="s">
        <v>8</v>
      </c>
      <c r="AH49" s="25" t="s">
        <v>474</v>
      </c>
      <c r="AI49">
        <f>IF(AI45&lt;AH39,0.01,IF(AI45&lt;AH40,0.1,IF(AI45&lt;AH41,1,IF(AI45&lt;AH42,10,100))))</f>
        <v>100</v>
      </c>
      <c r="AJ49" s="25" t="s">
        <v>8</v>
      </c>
      <c r="AL49" s="25" t="s">
        <v>474</v>
      </c>
      <c r="AM49">
        <f>IF(AM45&lt;AL39,0.01,IF(AM45&lt;AL40,0.1,IF(AM45&lt;AL41,1,IF(AM45&lt;AL42,10,100))))</f>
        <v>100</v>
      </c>
      <c r="AN49" s="25" t="s">
        <v>8</v>
      </c>
      <c r="AP49" s="25" t="s">
        <v>474</v>
      </c>
      <c r="AQ49">
        <f>IF(AQ45&lt;AP39,0.01,IF(AQ45&lt;AP40,0.1,IF(AQ45&lt;AP41,1,IF(AQ45&lt;AP42,10,100))))</f>
        <v>100</v>
      </c>
      <c r="AR49" s="25" t="s">
        <v>8</v>
      </c>
      <c r="AT49" s="25" t="s">
        <v>474</v>
      </c>
      <c r="AU49">
        <f>IF(AU45&lt;AT39,0.01,IF(AU45&lt;AT40,0.1,IF(AU45&lt;AT41,1,IF(AU45&lt;AT42,10,100))))</f>
        <v>100</v>
      </c>
      <c r="AV49" s="25" t="s">
        <v>8</v>
      </c>
      <c r="AX49" s="25" t="s">
        <v>474</v>
      </c>
      <c r="AY49">
        <f>IF(AY45&lt;AX39,0.01,IF(AY45&lt;AX40,0.1,IF(AY45&lt;AX41,1,IF(AY45&lt;AX42,10,100))))</f>
        <v>100</v>
      </c>
      <c r="AZ49" s="25" t="s">
        <v>8</v>
      </c>
      <c r="BB49" s="25" t="s">
        <v>474</v>
      </c>
      <c r="BC49">
        <f>IF(BC45&lt;BB39,0.01,IF(BC45&lt;BB40,0.1,IF(BC45&lt;BB41,1,IF(BC45&lt;BB42,10,100))))</f>
        <v>100</v>
      </c>
      <c r="BD49" s="25" t="s">
        <v>8</v>
      </c>
      <c r="BF49" s="25" t="s">
        <v>474</v>
      </c>
      <c r="BG49">
        <f>IF(BG45&lt;BF39,0.01,IF(BG45&lt;BF40,0.1,IF(BG45&lt;BF41,1,IF(BG45&lt;BF42,10,100))))</f>
        <v>100</v>
      </c>
      <c r="BH49" s="25" t="s">
        <v>8</v>
      </c>
      <c r="BJ49" s="25" t="s">
        <v>474</v>
      </c>
      <c r="BK49">
        <f>IF(BK45&lt;BJ39,0.01,IF(BK45&lt;BJ40,0.1,IF(BK45&lt;BJ41,1,IF(BK45&lt;BJ42,10,100))))</f>
        <v>100</v>
      </c>
      <c r="BL49" s="25" t="s">
        <v>8</v>
      </c>
      <c r="BN49" s="25" t="s">
        <v>474</v>
      </c>
      <c r="BO49">
        <f>IF(BO45&lt;BN39,0.01,IF(BO45&lt;BN40,0.1,IF(BO45&lt;BN41,1,IF(BO45&lt;BN42,10,100))))</f>
        <v>100</v>
      </c>
      <c r="BP49" s="25" t="s">
        <v>8</v>
      </c>
      <c r="BR49" s="25" t="s">
        <v>474</v>
      </c>
      <c r="BS49">
        <f>IF(BS45&lt;BR39,0.01,IF(BS45&lt;BR40,0.1,IF(BS45&lt;BR41,1,IF(BS45&lt;BR42,10,100))))</f>
        <v>100</v>
      </c>
      <c r="BT49" s="25" t="s">
        <v>8</v>
      </c>
      <c r="BV49" s="25" t="s">
        <v>474</v>
      </c>
      <c r="BW49">
        <f>IF(BW45&lt;BV39,0.01,IF(BW45&lt;BV40,0.1,IF(BW45&lt;BV41,1,IF(BW45&lt;BV42,10,100))))</f>
        <v>100</v>
      </c>
      <c r="BX49" s="25" t="s">
        <v>8</v>
      </c>
    </row>
    <row r="50" spans="2:76">
      <c r="B50" s="25" t="s">
        <v>475</v>
      </c>
      <c r="C50">
        <f>LOOKUP(C49,B39:B43,C39:C43)</f>
        <v>8</v>
      </c>
      <c r="D50" s="25" t="s">
        <v>25</v>
      </c>
      <c r="F50" s="25" t="s">
        <v>475</v>
      </c>
      <c r="G50">
        <f>LOOKUP(G49,F39:F43,G39:G43)</f>
        <v>7.9031483592458951</v>
      </c>
      <c r="H50" s="25" t="s">
        <v>25</v>
      </c>
      <c r="J50" s="25" t="s">
        <v>475</v>
      </c>
      <c r="K50">
        <f>LOOKUP(K49,J39:J43,K39:K43)</f>
        <v>7.0471211308055244</v>
      </c>
      <c r="L50" s="25" t="s">
        <v>25</v>
      </c>
      <c r="N50" s="25" t="s">
        <v>475</v>
      </c>
      <c r="O50">
        <f>LOOKUP(O49,N39:N43,O39:O43)</f>
        <v>3.3673934545713862</v>
      </c>
      <c r="P50" s="25" t="s">
        <v>25</v>
      </c>
      <c r="R50" s="25" t="s">
        <v>475</v>
      </c>
      <c r="S50">
        <f>LOOKUP(S49,R39:R43,S39:S43)</f>
        <v>7.8498109294453453</v>
      </c>
      <c r="T50" s="25" t="s">
        <v>25</v>
      </c>
      <c r="V50" s="25" t="s">
        <v>475</v>
      </c>
      <c r="W50">
        <f>LOOKUP(W49,V39:V43,W39:W43)</f>
        <v>5.4116030209087382</v>
      </c>
      <c r="X50" s="25" t="s">
        <v>25</v>
      </c>
      <c r="Z50" s="25" t="s">
        <v>475</v>
      </c>
      <c r="AA50">
        <f>LOOKUP(AA49,Z39:Z43,AA39:AA43)</f>
        <v>1.7617151926825707</v>
      </c>
      <c r="AB50" s="25" t="s">
        <v>25</v>
      </c>
      <c r="AD50" s="25" t="s">
        <v>475</v>
      </c>
      <c r="AE50">
        <f>LOOKUP(AE49,AD39:AD43,AE39:AE43)</f>
        <v>2.7647092080521714</v>
      </c>
      <c r="AF50" s="25" t="s">
        <v>25</v>
      </c>
      <c r="AH50" s="25" t="s">
        <v>475</v>
      </c>
      <c r="AI50">
        <f>LOOKUP(AI49,AH39:AH43,AI39:AI43)</f>
        <v>4.3207301259686117</v>
      </c>
      <c r="AJ50" s="25" t="s">
        <v>25</v>
      </c>
      <c r="AL50" s="25" t="s">
        <v>475</v>
      </c>
      <c r="AM50">
        <f>LOOKUP(AM49,AL39:AL43,AM39:AM43)</f>
        <v>1.8075120632521322</v>
      </c>
      <c r="AN50" s="25" t="s">
        <v>25</v>
      </c>
      <c r="AP50" s="25" t="s">
        <v>475</v>
      </c>
      <c r="AQ50">
        <f>LOOKUP(AQ49,AP39:AP43,AQ39:AQ43)</f>
        <v>4.8948231581950248</v>
      </c>
      <c r="AR50" s="25" t="s">
        <v>25</v>
      </c>
      <c r="AT50" s="25" t="s">
        <v>475</v>
      </c>
      <c r="AU50">
        <f>LOOKUP(AU49,AT39:AT43,AU39:AU43)</f>
        <v>1.6105592329730147</v>
      </c>
      <c r="AV50" s="25" t="s">
        <v>25</v>
      </c>
      <c r="AX50" s="25" t="s">
        <v>475</v>
      </c>
      <c r="AY50">
        <f>LOOKUP(AY49,AX39:AX43,AY39:AY43)</f>
        <v>1.2505377720663724</v>
      </c>
      <c r="AZ50" s="25" t="s">
        <v>25</v>
      </c>
      <c r="BB50" s="25" t="s">
        <v>475</v>
      </c>
      <c r="BC50">
        <f>LOOKUP(BC49,BB39:BB43,BC39:BC43)</f>
        <v>2.4892976380282912</v>
      </c>
      <c r="BD50" s="25" t="s">
        <v>25</v>
      </c>
      <c r="BF50" s="25" t="s">
        <v>475</v>
      </c>
      <c r="BG50">
        <f>LOOKUP(BG49,BF39:BF43,BG39:BG43)</f>
        <v>2.0151515986891386</v>
      </c>
      <c r="BH50" s="25" t="s">
        <v>25</v>
      </c>
      <c r="BJ50" s="25" t="s">
        <v>475</v>
      </c>
      <c r="BK50">
        <f>LOOKUP(BK49,BJ39:BJ43,BK39:BK43)</f>
        <v>2.0767011645453843</v>
      </c>
      <c r="BL50" s="25" t="s">
        <v>25</v>
      </c>
      <c r="BN50" s="25" t="s">
        <v>475</v>
      </c>
      <c r="BO50">
        <f>LOOKUP(BO49,BN39:BN43,BO39:BO43)</f>
        <v>1.5383128182420169</v>
      </c>
      <c r="BP50" s="25" t="s">
        <v>25</v>
      </c>
      <c r="BR50" s="25" t="s">
        <v>475</v>
      </c>
      <c r="BS50">
        <f>LOOKUP(BS49,BR39:BR43,BS39:BS43)</f>
        <v>0.65357795344353842</v>
      </c>
      <c r="BT50" s="25" t="s">
        <v>25</v>
      </c>
      <c r="BV50" s="25" t="s">
        <v>475</v>
      </c>
      <c r="BW50">
        <f>LOOKUP(BW49,BV39:BV43,BW39:BW43)</f>
        <v>0.9909213236353438</v>
      </c>
      <c r="BX50" s="25" t="s">
        <v>25</v>
      </c>
    </row>
    <row r="52" spans="2:76">
      <c r="B52" s="25" t="s">
        <v>174</v>
      </c>
      <c r="C52">
        <f>C48/C47^C53</f>
        <v>12.5</v>
      </c>
      <c r="F52" s="25" t="s">
        <v>174</v>
      </c>
      <c r="G52">
        <f>G48/G47^G53</f>
        <v>35.958491660984954</v>
      </c>
      <c r="J52" s="25" t="s">
        <v>174</v>
      </c>
      <c r="K52">
        <f>K48/K47^K53</f>
        <v>17.017399477402357</v>
      </c>
      <c r="N52" s="25" t="s">
        <v>174</v>
      </c>
      <c r="O52">
        <f>O48/O47^O53</f>
        <v>19.497114026707433</v>
      </c>
      <c r="R52" s="25" t="s">
        <v>174</v>
      </c>
      <c r="S52">
        <f>S48/S47^S53</f>
        <v>31.775746737454419</v>
      </c>
      <c r="V52" s="25" t="s">
        <v>174</v>
      </c>
      <c r="W52">
        <f>W48/W47^W53</f>
        <v>15.615750053458902</v>
      </c>
      <c r="Z52" s="25" t="s">
        <v>174</v>
      </c>
      <c r="AA52">
        <f>AA48/AA47^AA53</f>
        <v>21.026077622905706</v>
      </c>
      <c r="AD52" s="25" t="s">
        <v>174</v>
      </c>
      <c r="AE52">
        <f>AE48/AE47^AE53</f>
        <v>10.191009492205998</v>
      </c>
      <c r="AH52" s="25" t="s">
        <v>174</v>
      </c>
      <c r="AI52">
        <f>AI48/AI47^AI53</f>
        <v>8.1623882383855442</v>
      </c>
      <c r="AL52" s="25" t="s">
        <v>174</v>
      </c>
      <c r="AM52">
        <f>AM48/AM47^AM53</f>
        <v>17.262012395809329</v>
      </c>
      <c r="AP52" s="25" t="s">
        <v>174</v>
      </c>
      <c r="AQ52">
        <f>AQ48/AQ47^AQ53</f>
        <v>14.086292773514824</v>
      </c>
      <c r="AT52" s="25" t="s">
        <v>174</v>
      </c>
      <c r="AU52">
        <f>AU48/AU47^AU53</f>
        <v>22.904407065176603</v>
      </c>
      <c r="AX52" s="25" t="s">
        <v>174</v>
      </c>
      <c r="AY52">
        <f>AY48/AY47^AY53</f>
        <v>8.8411912668580861</v>
      </c>
      <c r="BB52" s="25" t="s">
        <v>174</v>
      </c>
      <c r="BC52">
        <f>BC48/BC47^BC53</f>
        <v>4.2373946075409457</v>
      </c>
      <c r="BF52" s="25" t="s">
        <v>174</v>
      </c>
      <c r="BG52">
        <f>BG48/BG47^BG53</f>
        <v>10.099971955031069</v>
      </c>
      <c r="BJ52" s="25" t="s">
        <v>174</v>
      </c>
      <c r="BK52">
        <f>BK48/BK47^BK53</f>
        <v>3.4466815559543194</v>
      </c>
      <c r="BN52" s="25" t="s">
        <v>174</v>
      </c>
      <c r="BO52">
        <f>BO48/BO47^BO53</f>
        <v>4.4367690816489356</v>
      </c>
      <c r="BR52" s="25" t="s">
        <v>174</v>
      </c>
      <c r="BS52">
        <f>BS48/BS47^BS53</f>
        <v>2.4531719684916919</v>
      </c>
      <c r="BV52" s="25" t="s">
        <v>174</v>
      </c>
      <c r="BW52">
        <f>BW48/BW47^BW53</f>
        <v>3.9449626191776703</v>
      </c>
    </row>
    <row r="53" spans="2:76">
      <c r="B53" s="25" t="s">
        <v>175</v>
      </c>
      <c r="C53">
        <f>IF(C49=C47,0.00000000000001,LOG(C48/C50)/LOG(C47/C49))</f>
        <v>-9.691001300805642E-2</v>
      </c>
      <c r="F53" s="25" t="s">
        <v>175</v>
      </c>
      <c r="G53">
        <f>IF(G49=G47,0.00000000000001,LOG(G48/G50)/LOG(G47/G49))</f>
        <v>-0.32900066578494619</v>
      </c>
      <c r="J53" s="25" t="s">
        <v>175</v>
      </c>
      <c r="K53">
        <f>IF(K49=K47,0.00000000000001,LOG(K48/K50)/LOG(K47/K49))</f>
        <v>-0.19144072868481182</v>
      </c>
      <c r="N53" s="25" t="s">
        <v>175</v>
      </c>
      <c r="O53">
        <f>IF(O49=O47,0.00000000000001,LOG(O48/O50)/LOG(O47/O49))</f>
        <v>-0.38133823411203377</v>
      </c>
      <c r="R53" s="25" t="s">
        <v>175</v>
      </c>
      <c r="S53">
        <f>IF(S49=S47,0.00000000000001,LOG(S48/S50)/LOG(S47/S49))</f>
        <v>-0.30361828445682948</v>
      </c>
      <c r="V53" s="25" t="s">
        <v>175</v>
      </c>
      <c r="W53">
        <f>IF(W49=W47,0.00000000000001,LOG(W48/W50)/LOG(W47/W49))</f>
        <v>-0.23011845924690735</v>
      </c>
      <c r="Z53" s="25" t="s">
        <v>175</v>
      </c>
      <c r="AA53">
        <f>IF(AA49=AA47,0.00000000000001,LOG(AA48/AA50)/LOG(AA47/AA49))</f>
        <v>-0.53841128188035081</v>
      </c>
      <c r="AD53" s="25" t="s">
        <v>175</v>
      </c>
      <c r="AE53">
        <f>IF(AE49=AE47,0.00000000000001,LOG(AE48/AE50)/LOG(AE47/AE49))</f>
        <v>-0.2832838735645743</v>
      </c>
      <c r="AH53" s="25" t="s">
        <v>175</v>
      </c>
      <c r="AI53">
        <f>IF(AI49=AI47,0.00000000000001,LOG(AI48/AI50)/LOG(AI47/AI49))</f>
        <v>-0.13813005342270787</v>
      </c>
      <c r="AL53" s="25" t="s">
        <v>175</v>
      </c>
      <c r="AM53">
        <f>IF(AM49=AM47,0.00000000000001,LOG(AM48/AM50)/LOG(AM47/AM49))</f>
        <v>-0.4900051098511593</v>
      </c>
      <c r="AP53" s="25" t="s">
        <v>175</v>
      </c>
      <c r="AQ53">
        <f>IF(AQ49=AQ47,0.00000000000001,LOG(AQ48/AQ50)/LOG(AQ47/AQ49))</f>
        <v>-0.22952985228178141</v>
      </c>
      <c r="AT53" s="25" t="s">
        <v>175</v>
      </c>
      <c r="AU53">
        <f>IF(AU49=AU47,0.00000000000001,LOG(AU48/AU50)/LOG(AU47/AU49))</f>
        <v>-0.57647117581576712</v>
      </c>
      <c r="AX53" s="25" t="s">
        <v>175</v>
      </c>
      <c r="AY53">
        <f>IF(AY49=AY47,0.00000000000001,LOG(AY48/AY50)/LOG(AY47/AY49))</f>
        <v>-0.42470698602312174</v>
      </c>
      <c r="BB53" s="25" t="s">
        <v>175</v>
      </c>
      <c r="BC53">
        <f>IF(BC49=BC47,0.00000000000001,LOG(BC48/BC50)/LOG(BC47/BC49))</f>
        <v>-0.11551104127129079</v>
      </c>
      <c r="BF53" s="25" t="s">
        <v>175</v>
      </c>
      <c r="BG53">
        <f>IF(BG49=BG47,0.00000000000001,LOG(BG48/BG50)/LOG(BG47/BG49))</f>
        <v>-0.35000622221691802</v>
      </c>
      <c r="BJ53" s="25" t="s">
        <v>175</v>
      </c>
      <c r="BK53">
        <f>IF(BK49=BK47,0.00000000000001,LOG(BK48/BK50)/LOG(BK47/BK49))</f>
        <v>-0.11001357685321016</v>
      </c>
      <c r="BN53" s="25" t="s">
        <v>175</v>
      </c>
      <c r="BO53">
        <f>IF(BO49=BO47,0.00000000000001,LOG(BO48/BO50)/LOG(BO47/BO49))</f>
        <v>-0.23001108345265572</v>
      </c>
      <c r="BR53" s="25" t="s">
        <v>175</v>
      </c>
      <c r="BS53">
        <f>IF(BS49=BS47,0.00000000000001,LOG(BS48/BS50)/LOG(BS47/BS49))</f>
        <v>-0.28721529970555326</v>
      </c>
      <c r="BV53" s="25" t="s">
        <v>175</v>
      </c>
      <c r="BW53">
        <f>IF(BW49=BW47,0.00000000000001,LOG(BW48/BW50)/LOG(BW47/BW49))</f>
        <v>-0.30000185913851679</v>
      </c>
    </row>
    <row r="55" spans="2:76">
      <c r="B55" s="25" t="s">
        <v>476</v>
      </c>
      <c r="C55">
        <f>C52*C45^C53</f>
        <v>7.1920411135826088</v>
      </c>
      <c r="D55" s="25" t="s">
        <v>25</v>
      </c>
      <c r="F55" s="25" t="s">
        <v>476</v>
      </c>
      <c r="G55">
        <f>G52*G45^G53</f>
        <v>5.5058823732977293</v>
      </c>
      <c r="H55" s="25" t="s">
        <v>25</v>
      </c>
      <c r="J55" s="25" t="s">
        <v>476</v>
      </c>
      <c r="K55">
        <f>K52*K45^K53</f>
        <v>5.710462693278509</v>
      </c>
      <c r="L55" s="25" t="s">
        <v>25</v>
      </c>
      <c r="N55" s="25" t="s">
        <v>476</v>
      </c>
      <c r="O55">
        <f>O52*O45^O53</f>
        <v>2.2148753622584541</v>
      </c>
      <c r="P55" s="25" t="s">
        <v>25</v>
      </c>
      <c r="R55" s="25" t="s">
        <v>476</v>
      </c>
      <c r="S55">
        <f>S52*S45^S53</f>
        <v>5.6233674667639191</v>
      </c>
      <c r="T55" s="25" t="s">
        <v>25</v>
      </c>
      <c r="V55" s="25" t="s">
        <v>476</v>
      </c>
      <c r="W55">
        <f>W52*W45^W53</f>
        <v>4.202730346040493</v>
      </c>
      <c r="X55" s="25" t="s">
        <v>25</v>
      </c>
      <c r="Z55" s="25" t="s">
        <v>476</v>
      </c>
      <c r="AA55">
        <f>AA52*AA45^AA53</f>
        <v>0.97509794473192457</v>
      </c>
      <c r="AB55" s="25" t="s">
        <v>25</v>
      </c>
      <c r="AD55" s="25" t="s">
        <v>476</v>
      </c>
      <c r="AE55">
        <f>AE52*AE45^AE53</f>
        <v>2.0252969369285929</v>
      </c>
      <c r="AF55" s="25" t="s">
        <v>25</v>
      </c>
      <c r="AH55" s="25" t="s">
        <v>476</v>
      </c>
      <c r="AI55">
        <f>AI52*AI45^AI53</f>
        <v>3.7123794383982123</v>
      </c>
      <c r="AJ55" s="25" t="s">
        <v>25</v>
      </c>
      <c r="AL55" s="25" t="s">
        <v>476</v>
      </c>
      <c r="AM55">
        <f>AM52*AM45^AM53</f>
        <v>1.0550896400259344</v>
      </c>
      <c r="AN55" s="25" t="s">
        <v>25</v>
      </c>
      <c r="AP55" s="25" t="s">
        <v>476</v>
      </c>
      <c r="AQ55">
        <f>AQ52*AQ45^AQ53</f>
        <v>3.803850486475612</v>
      </c>
      <c r="AR55" s="25" t="s">
        <v>25</v>
      </c>
      <c r="AT55" s="25" t="s">
        <v>476</v>
      </c>
      <c r="AU55">
        <f>AU52*AU45^AU53</f>
        <v>0.85492902067885934</v>
      </c>
      <c r="AV55" s="25" t="s">
        <v>25</v>
      </c>
      <c r="AX55" s="25" t="s">
        <v>476</v>
      </c>
      <c r="AY55">
        <f>AY52*AY45^AY53</f>
        <v>0.78426004520125903</v>
      </c>
      <c r="AZ55" s="25" t="s">
        <v>25</v>
      </c>
      <c r="BB55" s="25" t="s">
        <v>476</v>
      </c>
      <c r="BC55">
        <f>BC52*BC45^BC53</f>
        <v>2.1926234560780906</v>
      </c>
      <c r="BD55" s="25" t="s">
        <v>25</v>
      </c>
      <c r="BF55" s="25" t="s">
        <v>476</v>
      </c>
      <c r="BG55">
        <f>BG52*BG45^BG53</f>
        <v>1.371867983148616</v>
      </c>
      <c r="BH55" s="25" t="s">
        <v>25</v>
      </c>
      <c r="BJ55" s="25" t="s">
        <v>476</v>
      </c>
      <c r="BK55">
        <f>BK52*BK45^BK53</f>
        <v>1.8402812116280407</v>
      </c>
      <c r="BL55" s="25" t="s">
        <v>25</v>
      </c>
      <c r="BN55" s="25" t="s">
        <v>476</v>
      </c>
      <c r="BO55">
        <f>BO52*BO45^BO53</f>
        <v>1.1948172539605957</v>
      </c>
      <c r="BP55" s="25" t="s">
        <v>25</v>
      </c>
      <c r="BR55" s="25" t="s">
        <v>476</v>
      </c>
      <c r="BS55">
        <f>BS52*BS45^BS53</f>
        <v>0.47671725762863415</v>
      </c>
      <c r="BT55" s="25" t="s">
        <v>25</v>
      </c>
      <c r="BV55" s="25" t="s">
        <v>476</v>
      </c>
      <c r="BW55">
        <f>BW52*BW45^BW53</f>
        <v>0.71269205109821487</v>
      </c>
      <c r="BX55" s="25" t="s">
        <v>25</v>
      </c>
    </row>
    <row r="56" spans="2:76">
      <c r="B56" s="25" t="s">
        <v>477</v>
      </c>
      <c r="C56">
        <f>C55*VINMAX</f>
        <v>158.22490449881738</v>
      </c>
      <c r="D56" s="25" t="s">
        <v>87</v>
      </c>
      <c r="F56" s="25" t="s">
        <v>477</v>
      </c>
      <c r="G56">
        <f>G55*VINMAX</f>
        <v>121.12941221255005</v>
      </c>
      <c r="H56" s="25" t="s">
        <v>87</v>
      </c>
      <c r="J56" s="25" t="s">
        <v>477</v>
      </c>
      <c r="K56">
        <f>K55*VINMAX</f>
        <v>125.63017925212719</v>
      </c>
      <c r="L56" s="25" t="s">
        <v>87</v>
      </c>
      <c r="N56" s="25" t="s">
        <v>477</v>
      </c>
      <c r="O56">
        <f>O55*VINMAX</f>
        <v>48.727257969685986</v>
      </c>
      <c r="P56" s="25" t="s">
        <v>87</v>
      </c>
      <c r="R56" s="25" t="s">
        <v>477</v>
      </c>
      <c r="S56">
        <f>S55*VINMAX</f>
        <v>123.71408426880622</v>
      </c>
      <c r="T56" s="25" t="s">
        <v>87</v>
      </c>
      <c r="V56" s="25" t="s">
        <v>477</v>
      </c>
      <c r="W56">
        <f>W55*VINMAX</f>
        <v>92.460067612890839</v>
      </c>
      <c r="X56" s="25" t="s">
        <v>87</v>
      </c>
      <c r="Z56" s="25" t="s">
        <v>477</v>
      </c>
      <c r="AA56">
        <f>AA55*VINMAX</f>
        <v>21.452154784102341</v>
      </c>
      <c r="AB56" s="25" t="s">
        <v>87</v>
      </c>
      <c r="AD56" s="25" t="s">
        <v>477</v>
      </c>
      <c r="AE56">
        <f>AE55*VINMAX</f>
        <v>44.556532612429045</v>
      </c>
      <c r="AF56" s="25" t="s">
        <v>87</v>
      </c>
      <c r="AH56" s="25" t="s">
        <v>477</v>
      </c>
      <c r="AI56">
        <f>AI55*VINMAX</f>
        <v>81.672347644760663</v>
      </c>
      <c r="AJ56" s="25" t="s">
        <v>87</v>
      </c>
      <c r="AL56" s="25" t="s">
        <v>477</v>
      </c>
      <c r="AM56">
        <f>AM55*VINMAX</f>
        <v>23.211972080570558</v>
      </c>
      <c r="AN56" s="25" t="s">
        <v>87</v>
      </c>
      <c r="AP56" s="25" t="s">
        <v>477</v>
      </c>
      <c r="AQ56">
        <f>AQ55*VINMAX</f>
        <v>83.684710702463462</v>
      </c>
      <c r="AR56" s="25" t="s">
        <v>87</v>
      </c>
      <c r="AT56" s="25" t="s">
        <v>477</v>
      </c>
      <c r="AU56">
        <f>AU55*VINMAX</f>
        <v>18.808438454934905</v>
      </c>
      <c r="AV56" s="25" t="s">
        <v>87</v>
      </c>
      <c r="AX56" s="25" t="s">
        <v>477</v>
      </c>
      <c r="AY56">
        <f>AY55*VINMAX</f>
        <v>17.253720994427699</v>
      </c>
      <c r="AZ56" s="25" t="s">
        <v>87</v>
      </c>
      <c r="BB56" s="25" t="s">
        <v>477</v>
      </c>
      <c r="BC56">
        <f>BC55*VINMAX</f>
        <v>48.237716033717994</v>
      </c>
      <c r="BD56" s="25" t="s">
        <v>87</v>
      </c>
      <c r="BF56" s="25" t="s">
        <v>477</v>
      </c>
      <c r="BG56">
        <f>BG55*VINMAX</f>
        <v>30.181095629269553</v>
      </c>
      <c r="BH56" s="25" t="s">
        <v>87</v>
      </c>
      <c r="BJ56" s="25" t="s">
        <v>477</v>
      </c>
      <c r="BK56">
        <f>BK55*VINMAX</f>
        <v>40.486186655816894</v>
      </c>
      <c r="BL56" s="25" t="s">
        <v>87</v>
      </c>
      <c r="BN56" s="25" t="s">
        <v>477</v>
      </c>
      <c r="BO56">
        <f>BO55*VINMAX</f>
        <v>26.285979587133106</v>
      </c>
      <c r="BP56" s="25" t="s">
        <v>87</v>
      </c>
      <c r="BR56" s="25" t="s">
        <v>477</v>
      </c>
      <c r="BS56">
        <f>BS55*VINMAX</f>
        <v>10.487779667829951</v>
      </c>
      <c r="BT56" s="25" t="s">
        <v>87</v>
      </c>
      <c r="BV56" s="25" t="s">
        <v>477</v>
      </c>
      <c r="BW56">
        <f>BW55*VINMAX</f>
        <v>15.679225124160727</v>
      </c>
      <c r="BX56" s="25" t="s">
        <v>87</v>
      </c>
    </row>
    <row r="58" spans="2:76">
      <c r="B58" s="25" t="s">
        <v>478</v>
      </c>
      <c r="C58">
        <f>(C6-C34)/(C6-25)</f>
        <v>0.56000000000000005</v>
      </c>
      <c r="F58" s="25" t="s">
        <v>478</v>
      </c>
      <c r="G58">
        <f>(G6-G34)/(G6-25)</f>
        <v>0.55520000000000003</v>
      </c>
      <c r="J58" s="25" t="s">
        <v>478</v>
      </c>
      <c r="K58">
        <f>(K6-K34)/(K6-25)</f>
        <v>0.54399999999999993</v>
      </c>
      <c r="N58" s="25" t="s">
        <v>478</v>
      </c>
      <c r="O58">
        <f>(O6-O34)/(O6-25)</f>
        <v>0.53752</v>
      </c>
      <c r="R58" s="25" t="s">
        <v>478</v>
      </c>
      <c r="S58">
        <f>(S6-S34)/(S6-25)</f>
        <v>0.5333</v>
      </c>
      <c r="V58" s="25" t="s">
        <v>478</v>
      </c>
      <c r="W58">
        <f>(W6-W34)/(W6-25)</f>
        <v>0.50947999999999993</v>
      </c>
      <c r="Z58" s="25" t="s">
        <v>478</v>
      </c>
      <c r="AA58">
        <f>(AA6-AA34)/(AA6-25)</f>
        <v>0.46572799999999998</v>
      </c>
      <c r="AD58" s="25" t="s">
        <v>478</v>
      </c>
      <c r="AE58">
        <f>(AE6-AE34)/(AE6-25)</f>
        <v>0.463424</v>
      </c>
      <c r="AH58" s="25" t="s">
        <v>478</v>
      </c>
      <c r="AI58">
        <f>(AI6-AI34)/(AI6-25)</f>
        <v>0.54773333333333329</v>
      </c>
      <c r="AL58" s="25" t="s">
        <v>478</v>
      </c>
      <c r="AM58">
        <f>(AM6-AM34)/(AM6-25)</f>
        <v>0.45527466666666672</v>
      </c>
      <c r="AP58" s="25" t="s">
        <v>478</v>
      </c>
      <c r="AQ58">
        <f>(AQ6-AQ34)/(AQ6-25)</f>
        <v>0.54474666666666671</v>
      </c>
      <c r="AT58" s="25" t="s">
        <v>478</v>
      </c>
      <c r="AU58">
        <f>(AU6-AU34)/(AU6-25)</f>
        <v>0.44590933333333338</v>
      </c>
      <c r="AX58" s="25" t="s">
        <v>478</v>
      </c>
      <c r="AY58">
        <f>(AY6-AY34)/(AY6-25)</f>
        <v>0.42560000000000003</v>
      </c>
      <c r="BB58" s="25" t="s">
        <v>478</v>
      </c>
      <c r="BC58">
        <f>(BC6-BC34)/(BC6-25)</f>
        <v>0.51375999999999999</v>
      </c>
      <c r="BF58" s="25" t="s">
        <v>478</v>
      </c>
      <c r="BG58">
        <f>(BG6-BG34)/(BG6-25)</f>
        <v>0.40684799999999993</v>
      </c>
      <c r="BJ58" s="25" t="s">
        <v>478</v>
      </c>
      <c r="BK58">
        <f>(BK6-BK34)/(BK6-25)</f>
        <v>0.52732000000000001</v>
      </c>
      <c r="BN58" s="25" t="s">
        <v>478</v>
      </c>
      <c r="BO58">
        <f>(BO6-BO34)/(BO6-25)</f>
        <v>0.43179999999999996</v>
      </c>
      <c r="BR58" s="25" t="s">
        <v>478</v>
      </c>
      <c r="BS58">
        <f>(BS6-BS34)/(BS6-25)</f>
        <v>0.43327599999999994</v>
      </c>
      <c r="BV58" s="25" t="s">
        <v>478</v>
      </c>
      <c r="BW58">
        <f>(BW6-BW34)/(BW6-25)</f>
        <v>0.44112639999999997</v>
      </c>
    </row>
    <row r="59" spans="2:76">
      <c r="B59" s="25" t="s">
        <v>479</v>
      </c>
      <c r="C59">
        <f>C58*C56</f>
        <v>88.605946519337735</v>
      </c>
      <c r="D59" s="25" t="s">
        <v>87</v>
      </c>
      <c r="F59" s="25" t="s">
        <v>479</v>
      </c>
      <c r="G59">
        <f>G58*G56</f>
        <v>67.251049660407787</v>
      </c>
      <c r="H59" s="25" t="s">
        <v>87</v>
      </c>
      <c r="J59" s="25" t="s">
        <v>479</v>
      </c>
      <c r="K59">
        <f>K58*K56</f>
        <v>68.342817513157186</v>
      </c>
      <c r="L59" s="25" t="s">
        <v>87</v>
      </c>
      <c r="N59" s="25" t="s">
        <v>479</v>
      </c>
      <c r="O59">
        <f>O58*O56</f>
        <v>26.191875703865612</v>
      </c>
      <c r="P59" s="25" t="s">
        <v>87</v>
      </c>
      <c r="R59" s="25" t="s">
        <v>479</v>
      </c>
      <c r="S59">
        <f>S58*S56</f>
        <v>65.976721140554361</v>
      </c>
      <c r="T59" s="25" t="s">
        <v>87</v>
      </c>
      <c r="V59" s="25" t="s">
        <v>479</v>
      </c>
      <c r="W59">
        <f>W58*W56</f>
        <v>47.106555247415621</v>
      </c>
      <c r="X59" s="25" t="s">
        <v>87</v>
      </c>
      <c r="Z59" s="25" t="s">
        <v>479</v>
      </c>
      <c r="AA59">
        <f>AA58*AA56</f>
        <v>9.9908691432904142</v>
      </c>
      <c r="AB59" s="25" t="s">
        <v>87</v>
      </c>
      <c r="AD59" s="25" t="s">
        <v>479</v>
      </c>
      <c r="AE59">
        <f>AE58*AE56</f>
        <v>20.648566569382318</v>
      </c>
      <c r="AF59" s="25" t="s">
        <v>87</v>
      </c>
      <c r="AH59" s="25" t="s">
        <v>479</v>
      </c>
      <c r="AI59">
        <f>AI58*AI56</f>
        <v>44.734667216623571</v>
      </c>
      <c r="AJ59" s="25" t="s">
        <v>87</v>
      </c>
      <c r="AL59" s="25" t="s">
        <v>479</v>
      </c>
      <c r="AM59">
        <f>AM58*AM56</f>
        <v>10.567822851657734</v>
      </c>
      <c r="AN59" s="25" t="s">
        <v>87</v>
      </c>
      <c r="AP59" s="25" t="s">
        <v>479</v>
      </c>
      <c r="AQ59">
        <f>AQ58*AQ56</f>
        <v>45.586967206131298</v>
      </c>
      <c r="AR59" s="25" t="s">
        <v>87</v>
      </c>
      <c r="AT59" s="25" t="s">
        <v>479</v>
      </c>
      <c r="AU59">
        <f>AU58*AU56</f>
        <v>8.3868582524810549</v>
      </c>
      <c r="AV59" s="25" t="s">
        <v>87</v>
      </c>
      <c r="AX59" s="25" t="s">
        <v>479</v>
      </c>
      <c r="AY59">
        <f>AY58*AY56</f>
        <v>7.3431836552284295</v>
      </c>
      <c r="AZ59" s="25" t="s">
        <v>87</v>
      </c>
      <c r="BB59" s="25" t="s">
        <v>479</v>
      </c>
      <c r="BC59">
        <f>BC58*BC56</f>
        <v>24.782608989482956</v>
      </c>
      <c r="BD59" s="25" t="s">
        <v>87</v>
      </c>
      <c r="BF59" s="25" t="s">
        <v>479</v>
      </c>
      <c r="BG59">
        <f>BG58*BG56</f>
        <v>12.279118394577058</v>
      </c>
      <c r="BH59" s="25" t="s">
        <v>87</v>
      </c>
      <c r="BJ59" s="25" t="s">
        <v>479</v>
      </c>
      <c r="BK59">
        <f>BK58*BK56</f>
        <v>21.349175947345366</v>
      </c>
      <c r="BL59" s="25" t="s">
        <v>87</v>
      </c>
      <c r="BN59" s="25" t="s">
        <v>479</v>
      </c>
      <c r="BO59">
        <f>BO58*BO56</f>
        <v>11.350285985724074</v>
      </c>
      <c r="BP59" s="25" t="s">
        <v>87</v>
      </c>
      <c r="BR59" s="25" t="s">
        <v>479</v>
      </c>
      <c r="BS59">
        <f>BS58*BS56</f>
        <v>4.5441032233586895</v>
      </c>
      <c r="BT59" s="25" t="s">
        <v>87</v>
      </c>
      <c r="BV59" s="25" t="s">
        <v>479</v>
      </c>
      <c r="BW59">
        <f>BW58*BW56</f>
        <v>6.9165201338105744</v>
      </c>
      <c r="BX59" s="25" t="s">
        <v>87</v>
      </c>
    </row>
    <row r="61" spans="2:76">
      <c r="B61" s="25" t="s">
        <v>480</v>
      </c>
      <c r="C61">
        <f>C59/'Design Calculator'!F52</f>
        <v>1.2207635255838569</v>
      </c>
      <c r="F61" s="25" t="s">
        <v>480</v>
      </c>
      <c r="G61">
        <f>G59/'Design Calculator'!F52</f>
        <v>0.92654761568104382</v>
      </c>
      <c r="J61" s="25" t="s">
        <v>480</v>
      </c>
      <c r="K61">
        <f>K59/'Design Calculator'!F52</f>
        <v>0.94158938686454563</v>
      </c>
      <c r="N61" s="25" t="s">
        <v>480</v>
      </c>
      <c r="O61">
        <f>O59/'Design Calculator'!F52</f>
        <v>0.36085711830782141</v>
      </c>
      <c r="R61" s="25" t="s">
        <v>480</v>
      </c>
      <c r="S61">
        <f>S59/'Design Calculator'!F52</f>
        <v>0.90899062500763772</v>
      </c>
      <c r="V61" s="25" t="s">
        <v>480</v>
      </c>
      <c r="W61">
        <f>W59/'Design Calculator'!F52</f>
        <v>0.64900795850530746</v>
      </c>
      <c r="Z61" s="25" t="s">
        <v>480</v>
      </c>
      <c r="AA61">
        <f>AA59/'Design Calculator'!F52</f>
        <v>0.13764864682471806</v>
      </c>
      <c r="AD61" s="25" t="s">
        <v>480</v>
      </c>
      <c r="AE61">
        <f>AE59/'Design Calculator'!F52</f>
        <v>0.28448448341997951</v>
      </c>
      <c r="AH61" s="25" t="s">
        <v>480</v>
      </c>
      <c r="AI61">
        <f>AI59/'Design Calculator'!F52</f>
        <v>0.61632940239815126</v>
      </c>
      <c r="AL61" s="25" t="s">
        <v>480</v>
      </c>
      <c r="AM61">
        <f>AM59/'Design Calculator'!F52</f>
        <v>0.14559759461877445</v>
      </c>
      <c r="AP61" s="25" t="s">
        <v>480</v>
      </c>
      <c r="AQ61">
        <f>AQ59/'Design Calculator'!F52</f>
        <v>0.6280719183456499</v>
      </c>
      <c r="AT61" s="25" t="s">
        <v>480</v>
      </c>
      <c r="AU61">
        <f>AU59/'Design Calculator'!F52</f>
        <v>0.11554947552686402</v>
      </c>
      <c r="AX61" s="25" t="s">
        <v>480</v>
      </c>
      <c r="AY61">
        <f>AY59/'Design Calculator'!F52</f>
        <v>0.10117030650995876</v>
      </c>
      <c r="BB61" s="25" t="s">
        <v>480</v>
      </c>
      <c r="BC61">
        <f>BC59/'Design Calculator'!F52</f>
        <v>0.34144102412544858</v>
      </c>
      <c r="BF61" s="25" t="s">
        <v>480</v>
      </c>
      <c r="BG61">
        <f>BG59/'Design Calculator'!F52</f>
        <v>0.16917487427499034</v>
      </c>
      <c r="BJ61" s="25" t="s">
        <v>480</v>
      </c>
      <c r="BK61">
        <f>BK59/'Design Calculator'!F52</f>
        <v>0.29413709035999591</v>
      </c>
      <c r="BN61" s="25" t="s">
        <v>480</v>
      </c>
      <c r="BO61">
        <f>BO59/'Design Calculator'!F52</f>
        <v>0.15637793715451784</v>
      </c>
      <c r="BR61" s="25" t="s">
        <v>480</v>
      </c>
      <c r="BS61">
        <f>BS59/'Design Calculator'!F52</f>
        <v>6.2606130733603327E-2</v>
      </c>
      <c r="BV61" s="25" t="s">
        <v>480</v>
      </c>
      <c r="BW61">
        <f>BW59/'Design Calculator'!F52</f>
        <v>9.5291973451009815E-2</v>
      </c>
    </row>
    <row r="63" spans="2:76">
      <c r="B63" s="25" t="s">
        <v>481</v>
      </c>
      <c r="C63">
        <f>IF(C61&gt;1.3,1,0)</f>
        <v>0</v>
      </c>
      <c r="F63" s="25" t="s">
        <v>481</v>
      </c>
      <c r="G63">
        <f>IF(G61&gt;1.3,1,0)</f>
        <v>0</v>
      </c>
      <c r="J63" s="25" t="s">
        <v>481</v>
      </c>
      <c r="K63">
        <f>IF(K61&gt;1.3,1,0)</f>
        <v>0</v>
      </c>
      <c r="N63" s="25" t="s">
        <v>481</v>
      </c>
      <c r="O63">
        <f>IF(O61&gt;1.3,1,0)</f>
        <v>0</v>
      </c>
      <c r="R63" s="25" t="s">
        <v>481</v>
      </c>
      <c r="S63">
        <f>IF(S61&gt;1.3,1,0)</f>
        <v>0</v>
      </c>
      <c r="V63" s="25" t="s">
        <v>481</v>
      </c>
      <c r="W63">
        <f>IF(W61&gt;1.3,1,0)</f>
        <v>0</v>
      </c>
      <c r="Z63" s="25" t="s">
        <v>481</v>
      </c>
      <c r="AA63">
        <f>IF(AA61&gt;1.3,1,0)</f>
        <v>0</v>
      </c>
      <c r="AD63" s="25" t="s">
        <v>481</v>
      </c>
      <c r="AE63">
        <f>IF(AE61&gt;1.3,1,0)</f>
        <v>0</v>
      </c>
      <c r="AH63" s="25" t="s">
        <v>481</v>
      </c>
      <c r="AI63">
        <f>IF(AI61&gt;1.3,1,0)</f>
        <v>0</v>
      </c>
      <c r="AL63" s="25" t="s">
        <v>481</v>
      </c>
      <c r="AM63">
        <f>IF(AM61&gt;1.3,1,0)</f>
        <v>0</v>
      </c>
      <c r="AP63" s="25" t="s">
        <v>481</v>
      </c>
      <c r="AQ63">
        <f>IF(AQ61&gt;1.3,1,0)</f>
        <v>0</v>
      </c>
      <c r="AT63" s="25" t="s">
        <v>481</v>
      </c>
      <c r="AU63">
        <f>IF(AU61&gt;1.3,1,0)</f>
        <v>0</v>
      </c>
      <c r="AX63" s="25" t="s">
        <v>481</v>
      </c>
      <c r="AY63">
        <f>IF(AY61&gt;1.3,1,0)</f>
        <v>0</v>
      </c>
      <c r="BB63" s="25" t="s">
        <v>481</v>
      </c>
      <c r="BC63">
        <f>IF(BC61&gt;1.3,1,0)</f>
        <v>0</v>
      </c>
      <c r="BF63" s="25" t="s">
        <v>481</v>
      </c>
      <c r="BG63">
        <f>IF(BG61&gt;1.3,1,0)</f>
        <v>0</v>
      </c>
      <c r="BJ63" s="25" t="s">
        <v>481</v>
      </c>
      <c r="BK63">
        <f>IF(BK61&gt;1.3,1,0)</f>
        <v>0</v>
      </c>
      <c r="BN63" s="25" t="s">
        <v>481</v>
      </c>
      <c r="BO63">
        <f>IF(BO61&gt;1.3,1,0)</f>
        <v>0</v>
      </c>
      <c r="BR63" s="25" t="s">
        <v>481</v>
      </c>
      <c r="BS63">
        <f>IF(BS61&gt;1.3,1,0)</f>
        <v>0</v>
      </c>
      <c r="BV63" s="25" t="s">
        <v>481</v>
      </c>
      <c r="BW63">
        <f>IF(BW61&gt;1.3,1,0)</f>
        <v>0</v>
      </c>
    </row>
    <row r="64" spans="2:76">
      <c r="C64">
        <f>COLUMN()</f>
        <v>3</v>
      </c>
      <c r="G64">
        <f>COLUMN()</f>
        <v>7</v>
      </c>
      <c r="K64">
        <f>COLUMN()</f>
        <v>11</v>
      </c>
      <c r="O64">
        <f>COLUMN()</f>
        <v>15</v>
      </c>
      <c r="S64">
        <f>COLUMN()</f>
        <v>19</v>
      </c>
      <c r="W64">
        <f>COLUMN()</f>
        <v>23</v>
      </c>
      <c r="AA64">
        <f>COLUMN()</f>
        <v>27</v>
      </c>
      <c r="AE64">
        <f>COLUMN()</f>
        <v>31</v>
      </c>
      <c r="AI64">
        <f>COLUMN()</f>
        <v>35</v>
      </c>
      <c r="AM64">
        <f>COLUMN()</f>
        <v>39</v>
      </c>
      <c r="AQ64">
        <f>COLUMN()</f>
        <v>43</v>
      </c>
      <c r="AU64">
        <f>COLUMN()</f>
        <v>47</v>
      </c>
      <c r="AY64">
        <f>COLUMN()</f>
        <v>51</v>
      </c>
      <c r="BC64">
        <f>COLUMN()</f>
        <v>55</v>
      </c>
      <c r="BG64">
        <f>COLUMN()</f>
        <v>59</v>
      </c>
      <c r="BK64">
        <f>COLUMN()</f>
        <v>63</v>
      </c>
      <c r="BO64">
        <f>COLUMN()</f>
        <v>67</v>
      </c>
      <c r="BS64">
        <f>COLUMN()</f>
        <v>71</v>
      </c>
      <c r="BW64">
        <f>COLUMN()</f>
        <v>75</v>
      </c>
    </row>
    <row r="67" spans="2:12">
      <c r="B67" s="25" t="s">
        <v>521</v>
      </c>
      <c r="C67" t="str">
        <f>LEFT('Design Calculator'!F54,FIND(" ",'Design Calculator'!F54)-1)</f>
        <v>CSD18535KTT</v>
      </c>
      <c r="F67" s="25" t="s">
        <v>527</v>
      </c>
      <c r="G67" t="str">
        <f>LEFT('Design Calculator'!G54,FIND(" ",'Design Calculator'!G54)-1)</f>
        <v>CSD18540Q5B</v>
      </c>
      <c r="J67" s="25" t="s">
        <v>529</v>
      </c>
      <c r="K67" t="str">
        <f>B4</f>
        <v>NON-TI MOSFET</v>
      </c>
    </row>
    <row r="68" spans="2:12">
      <c r="B68" s="25" t="s">
        <v>522</v>
      </c>
      <c r="C68">
        <f>MATCH(SFET24_1,B4:BV4,0)+2</f>
        <v>11</v>
      </c>
      <c r="F68" s="25" t="s">
        <v>522</v>
      </c>
      <c r="G68">
        <f>MATCH(SFET24_2,B4:BV4,0)+2</f>
        <v>15</v>
      </c>
      <c r="J68" s="25" t="s">
        <v>522</v>
      </c>
      <c r="K68">
        <f>COLUMN(C:C)</f>
        <v>3</v>
      </c>
    </row>
    <row r="70" spans="2:12">
      <c r="B70">
        <v>0.01</v>
      </c>
      <c r="C70">
        <f ca="1">INDIRECT(ADDRESS(39,C68))</f>
        <v>400</v>
      </c>
      <c r="D70" s="25" t="s">
        <v>25</v>
      </c>
      <c r="F70">
        <v>0.01</v>
      </c>
      <c r="G70">
        <f ca="1">INDIRECT(ADDRESS(39,G68))</f>
        <v>400</v>
      </c>
      <c r="H70" s="25" t="s">
        <v>25</v>
      </c>
      <c r="J70">
        <v>0.01</v>
      </c>
      <c r="K70">
        <f ca="1">INDIRECT(ADDRESS(39,K68))</f>
        <v>200</v>
      </c>
      <c r="L70" s="25" t="s">
        <v>25</v>
      </c>
    </row>
    <row r="71" spans="2:12">
      <c r="B71">
        <v>0.1</v>
      </c>
      <c r="C71">
        <f ca="1">INDIRECT(ADDRESS(40,C68))</f>
        <v>327.27272727272731</v>
      </c>
      <c r="D71" s="25" t="s">
        <v>25</v>
      </c>
      <c r="F71">
        <v>0.1</v>
      </c>
      <c r="G71">
        <f ca="1">INDIRECT(ADDRESS(40,G68))</f>
        <v>231.10192495122752</v>
      </c>
      <c r="H71" s="25" t="s">
        <v>25</v>
      </c>
      <c r="J71">
        <v>0.1</v>
      </c>
      <c r="K71">
        <f ca="1">INDIRECT(ADDRESS(40,K68))</f>
        <v>90</v>
      </c>
      <c r="L71" s="25" t="s">
        <v>25</v>
      </c>
    </row>
    <row r="72" spans="2:12">
      <c r="B72">
        <v>1</v>
      </c>
      <c r="C72" s="25">
        <f ca="1">INDIRECT(ADDRESS(41,C68))</f>
        <v>40.362880426103516</v>
      </c>
      <c r="D72" s="25" t="s">
        <v>25</v>
      </c>
      <c r="F72">
        <v>1</v>
      </c>
      <c r="G72" s="25">
        <f ca="1">INDIRECT(ADDRESS(41,G68))</f>
        <v>23.095628457895071</v>
      </c>
      <c r="H72" s="25" t="s">
        <v>25</v>
      </c>
      <c r="J72">
        <v>1</v>
      </c>
      <c r="K72">
        <f ca="1">INDIRECT(ADDRESS(41,K68))</f>
        <v>40</v>
      </c>
      <c r="L72" s="25" t="s">
        <v>25</v>
      </c>
    </row>
    <row r="73" spans="2:12">
      <c r="B73">
        <v>10</v>
      </c>
      <c r="C73">
        <f ca="1">INDIRECT(ADDRESS(42,C68))</f>
        <v>10.950966872772515</v>
      </c>
      <c r="D73" s="25" t="s">
        <v>25</v>
      </c>
      <c r="F73">
        <v>10</v>
      </c>
      <c r="G73">
        <f ca="1">INDIRECT(ADDRESS(42,G68))</f>
        <v>8.1027436190815365</v>
      </c>
      <c r="H73" s="25" t="s">
        <v>25</v>
      </c>
      <c r="J73">
        <v>10</v>
      </c>
      <c r="K73">
        <f ca="1">INDIRECT(ADDRESS(42,K68))</f>
        <v>10</v>
      </c>
      <c r="L73" s="25" t="s">
        <v>25</v>
      </c>
    </row>
    <row r="74" spans="2:12">
      <c r="B74">
        <v>100</v>
      </c>
      <c r="C74">
        <f ca="1">INDIRECT(ADDRESS(43,C68))</f>
        <v>7.0471211308055244</v>
      </c>
      <c r="D74" s="25" t="s">
        <v>25</v>
      </c>
      <c r="F74">
        <v>100</v>
      </c>
      <c r="G74">
        <f ca="1">INDIRECT(ADDRESS(43,G68))</f>
        <v>3.3673934545713862</v>
      </c>
      <c r="H74" s="25" t="s">
        <v>25</v>
      </c>
      <c r="J74">
        <v>100</v>
      </c>
      <c r="K74">
        <f ca="1">INDIRECT(ADDRESS(43,K68))</f>
        <v>8</v>
      </c>
      <c r="L74" s="25" t="s">
        <v>25</v>
      </c>
    </row>
    <row r="76" spans="2:12">
      <c r="B76" t="s">
        <v>523</v>
      </c>
      <c r="C76">
        <f ca="1">INDIRECT(ADDRESS(33,C68))</f>
        <v>0.28000000000000003</v>
      </c>
      <c r="D76" t="s">
        <v>87</v>
      </c>
      <c r="F76" t="s">
        <v>523</v>
      </c>
      <c r="G76">
        <f ca="1">INDIRECT(ADDRESS(33,G68))</f>
        <v>0.31240000000000001</v>
      </c>
      <c r="H76" t="s">
        <v>87</v>
      </c>
      <c r="J76" s="228" t="s">
        <v>523</v>
      </c>
      <c r="K76">
        <f ca="1">INDIRECT(ADDRESS(33,K68))</f>
        <v>0.2</v>
      </c>
      <c r="L76" t="s">
        <v>87</v>
      </c>
    </row>
    <row r="77" spans="2:12">
      <c r="B77" t="s">
        <v>466</v>
      </c>
      <c r="C77">
        <f ca="1">INDIRECT(ADDRESS(32,C68))</f>
        <v>2</v>
      </c>
      <c r="F77" t="s">
        <v>466</v>
      </c>
      <c r="G77">
        <f ca="1">INDIRECT(ADDRESS(32,G68))</f>
        <v>2</v>
      </c>
      <c r="J77" s="25" t="s">
        <v>466</v>
      </c>
      <c r="K77">
        <f ca="1">INDIRECT(ADDRESS(32,K68))</f>
        <v>2</v>
      </c>
    </row>
    <row r="78" spans="2:12" ht="14">
      <c r="B78" t="s">
        <v>158</v>
      </c>
      <c r="C78" s="25">
        <f ca="1">INDIRECT(ADDRESS(34,C68))</f>
        <v>93.4</v>
      </c>
      <c r="D78" s="25" t="s">
        <v>456</v>
      </c>
      <c r="F78" t="s">
        <v>158</v>
      </c>
      <c r="G78" s="25">
        <f ca="1">INDIRECT(ADDRESS(34,G68))</f>
        <v>94.372</v>
      </c>
      <c r="H78" s="25" t="s">
        <v>456</v>
      </c>
      <c r="J78" s="25" t="s">
        <v>158</v>
      </c>
      <c r="K78" s="25">
        <f ca="1">INDIRECT(ADDRESS(34,K68))</f>
        <v>91</v>
      </c>
      <c r="L78" s="25" t="s">
        <v>456</v>
      </c>
    </row>
    <row r="79" spans="2:12" ht="14">
      <c r="B79" t="s">
        <v>457</v>
      </c>
      <c r="C79">
        <f ca="1">INDIRECT(ADDRESS(6,C68))</f>
        <v>175</v>
      </c>
      <c r="D79" s="25" t="s">
        <v>456</v>
      </c>
      <c r="F79" t="s">
        <v>457</v>
      </c>
      <c r="G79">
        <f ca="1">INDIRECT(ADDRESS(6,G68))</f>
        <v>175</v>
      </c>
      <c r="H79" s="25" t="s">
        <v>456</v>
      </c>
      <c r="J79" t="s">
        <v>457</v>
      </c>
      <c r="K79">
        <f ca="1">INDIRECT(ADDRESS(6,K68))</f>
        <v>175</v>
      </c>
      <c r="L79" s="25" t="s">
        <v>456</v>
      </c>
    </row>
    <row r="80" spans="2:12" ht="14">
      <c r="B80" t="s">
        <v>524</v>
      </c>
      <c r="C80">
        <f ca="1">INDIRECT(ADDRESS(7,C68))*INDIRECT(ADDRESS(29,C68))</f>
        <v>2.8</v>
      </c>
      <c r="D80" s="25" t="s">
        <v>459</v>
      </c>
      <c r="F80" t="s">
        <v>524</v>
      </c>
      <c r="G80">
        <f ca="1">INDIRECT(ADDRESS(7,G68))*INDIRECT(ADDRESS(29,G68))</f>
        <v>3.1240000000000001</v>
      </c>
      <c r="H80" s="25" t="s">
        <v>459</v>
      </c>
      <c r="J80" s="25" t="s">
        <v>524</v>
      </c>
      <c r="K80">
        <f ca="1">INDIRECT(ADDRESS(7,K68))</f>
        <v>2</v>
      </c>
      <c r="L80" s="25" t="s">
        <v>459</v>
      </c>
    </row>
    <row r="81" spans="2:12">
      <c r="B81" t="s">
        <v>480</v>
      </c>
      <c r="C81">
        <f ca="1">INDIRECT(ADDRESS(61,C68))</f>
        <v>0.94158938686454563</v>
      </c>
      <c r="F81" t="s">
        <v>480</v>
      </c>
      <c r="G81">
        <f ca="1">INDIRECT(ADDRESS(61,G68))</f>
        <v>0.36085711830782141</v>
      </c>
      <c r="J81" s="25" t="s">
        <v>480</v>
      </c>
      <c r="K81">
        <f ca="1">INDIRECT(ADDRESS(61,K68))</f>
        <v>1.2207635255838569</v>
      </c>
    </row>
    <row r="82" spans="2:12">
      <c r="B82" t="s">
        <v>525</v>
      </c>
      <c r="C82" s="232" t="str">
        <f ca="1">HYPERLINK(INDIRECT(ADDRESS(5,C68)))</f>
        <v>https://www.ti.com/product/CSD18535KTT</v>
      </c>
      <c r="F82" t="s">
        <v>525</v>
      </c>
      <c r="G82" s="232" t="str">
        <f ca="1">HYPERLINK(INDIRECT(ADDRESS(5,G68)))</f>
        <v>https://www.ti.com/product/CSD18540Q5B</v>
      </c>
      <c r="J82" s="25" t="s">
        <v>525</v>
      </c>
      <c r="K82" s="234" t="str">
        <f ca="1">INDIRECT(ADDRESS(5,K68))</f>
        <v>Enter webpage link</v>
      </c>
    </row>
    <row r="83" spans="2:12">
      <c r="B83" t="s">
        <v>526</v>
      </c>
      <c r="C83" s="232" t="str">
        <f ca="1">HYPERLINK(INDIRECT(ADDRESS(30,C68)))</f>
        <v>https://www.ti.com/lit/gpn/csd18535ktt</v>
      </c>
      <c r="F83" t="s">
        <v>526</v>
      </c>
      <c r="G83" s="232" t="str">
        <f ca="1">HYPERLINK(INDIRECT(ADDRESS(30,G68)))</f>
        <v>https://www.ti.com/lit/gpn/csd18540q5b</v>
      </c>
      <c r="J83" s="25" t="s">
        <v>526</v>
      </c>
      <c r="K83" s="234" t="str">
        <f ca="1">INDIRECT(ADDRESS(30,K68))</f>
        <v>Not Applicable</v>
      </c>
    </row>
    <row r="84" spans="2:12">
      <c r="B84" t="s">
        <v>470</v>
      </c>
      <c r="C84">
        <f ca="1">INDIRECT(ADDRESS(35,C68))</f>
        <v>1.266</v>
      </c>
      <c r="D84" s="25" t="s">
        <v>528</v>
      </c>
      <c r="F84" t="s">
        <v>470</v>
      </c>
      <c r="G84">
        <f ca="1">INDIRECT(ADDRESS(35,G68))</f>
        <v>0.86699999999999999</v>
      </c>
      <c r="H84" s="25" t="s">
        <v>528</v>
      </c>
      <c r="J84" s="25" t="s">
        <v>470</v>
      </c>
      <c r="K84" s="2" t="str">
        <f ca="1">INDIRECT(ADDRESS(35,K68))</f>
        <v>Enter cost details</v>
      </c>
      <c r="L84" s="25" t="s">
        <v>528</v>
      </c>
    </row>
    <row r="89" spans="2:12">
      <c r="G89" s="25"/>
    </row>
  </sheetData>
  <conditionalFormatting sqref="B27:B28">
    <cfRule type="expression" dxfId="57" priority="57">
      <formula>#REF!="No"</formula>
    </cfRule>
    <cfRule type="expression" dxfId="56" priority="58">
      <formula>#REF!="No"</formula>
    </cfRule>
  </conditionalFormatting>
  <conditionalFormatting sqref="F27:F28">
    <cfRule type="expression" dxfId="55" priority="55">
      <formula>#REF!="No"</formula>
    </cfRule>
    <cfRule type="expression" dxfId="54" priority="56">
      <formula>#REF!="No"</formula>
    </cfRule>
  </conditionalFormatting>
  <conditionalFormatting sqref="J27:J28">
    <cfRule type="expression" dxfId="53" priority="53">
      <formula>#REF!="No"</formula>
    </cfRule>
    <cfRule type="expression" dxfId="52" priority="54">
      <formula>#REF!="No"</formula>
    </cfRule>
  </conditionalFormatting>
  <conditionalFormatting sqref="N27:N28">
    <cfRule type="expression" dxfId="51" priority="51">
      <formula>#REF!="No"</formula>
    </cfRule>
    <cfRule type="expression" dxfId="50" priority="52">
      <formula>#REF!="No"</formula>
    </cfRule>
  </conditionalFormatting>
  <conditionalFormatting sqref="R27:R28">
    <cfRule type="expression" dxfId="49" priority="49">
      <formula>#REF!="No"</formula>
    </cfRule>
    <cfRule type="expression" dxfId="48" priority="50">
      <formula>#REF!="No"</formula>
    </cfRule>
  </conditionalFormatting>
  <conditionalFormatting sqref="V27:V28">
    <cfRule type="expression" dxfId="47" priority="47">
      <formula>#REF!="No"</formula>
    </cfRule>
    <cfRule type="expression" dxfId="46" priority="48">
      <formula>#REF!="No"</formula>
    </cfRule>
  </conditionalFormatting>
  <conditionalFormatting sqref="Z27:Z28">
    <cfRule type="expression" dxfId="45" priority="45">
      <formula>#REF!="No"</formula>
    </cfRule>
    <cfRule type="expression" dxfId="44" priority="46">
      <formula>#REF!="No"</formula>
    </cfRule>
  </conditionalFormatting>
  <conditionalFormatting sqref="AD27:AD28">
    <cfRule type="expression" dxfId="43" priority="43">
      <formula>#REF!="No"</formula>
    </cfRule>
    <cfRule type="expression" dxfId="42" priority="44">
      <formula>#REF!="No"</formula>
    </cfRule>
  </conditionalFormatting>
  <conditionalFormatting sqref="AH27:AH28">
    <cfRule type="expression" dxfId="41" priority="41">
      <formula>#REF!="No"</formula>
    </cfRule>
    <cfRule type="expression" dxfId="40" priority="42">
      <formula>#REF!="No"</formula>
    </cfRule>
  </conditionalFormatting>
  <conditionalFormatting sqref="AL27:AL28">
    <cfRule type="expression" dxfId="39" priority="39">
      <formula>#REF!="No"</formula>
    </cfRule>
    <cfRule type="expression" dxfId="38" priority="40">
      <formula>#REF!="No"</formula>
    </cfRule>
  </conditionalFormatting>
  <conditionalFormatting sqref="AP27:AP28">
    <cfRule type="expression" dxfId="37" priority="37">
      <formula>#REF!="No"</formula>
    </cfRule>
    <cfRule type="expression" dxfId="36" priority="38">
      <formula>#REF!="No"</formula>
    </cfRule>
  </conditionalFormatting>
  <conditionalFormatting sqref="AT27:AT28">
    <cfRule type="expression" dxfId="35" priority="35">
      <formula>#REF!="No"</formula>
    </cfRule>
    <cfRule type="expression" dxfId="34" priority="36">
      <formula>#REF!="No"</formula>
    </cfRule>
  </conditionalFormatting>
  <conditionalFormatting sqref="AX27:AX28">
    <cfRule type="expression" dxfId="33" priority="33">
      <formula>#REF!="No"</formula>
    </cfRule>
    <cfRule type="expression" dxfId="32" priority="34">
      <formula>#REF!="No"</formula>
    </cfRule>
  </conditionalFormatting>
  <conditionalFormatting sqref="BB27:BB28">
    <cfRule type="expression" dxfId="31" priority="31">
      <formula>#REF!="No"</formula>
    </cfRule>
    <cfRule type="expression" dxfId="30" priority="32">
      <formula>#REF!="No"</formula>
    </cfRule>
  </conditionalFormatting>
  <conditionalFormatting sqref="BF27:BF28">
    <cfRule type="expression" dxfId="29" priority="29">
      <formula>#REF!="No"</formula>
    </cfRule>
    <cfRule type="expression" dxfId="28" priority="30">
      <formula>#REF!="No"</formula>
    </cfRule>
  </conditionalFormatting>
  <conditionalFormatting sqref="BJ27:BJ28">
    <cfRule type="expression" dxfId="27" priority="27">
      <formula>#REF!="No"</formula>
    </cfRule>
    <cfRule type="expression" dxfId="26" priority="28">
      <formula>#REF!="No"</formula>
    </cfRule>
  </conditionalFormatting>
  <conditionalFormatting sqref="BN27:BN28">
    <cfRule type="expression" dxfId="25" priority="25">
      <formula>#REF!="No"</formula>
    </cfRule>
    <cfRule type="expression" dxfId="24" priority="26">
      <formula>#REF!="No"</formula>
    </cfRule>
  </conditionalFormatting>
  <conditionalFormatting sqref="BR27:BR28">
    <cfRule type="expression" dxfId="23" priority="23">
      <formula>#REF!="No"</formula>
    </cfRule>
    <cfRule type="expression" dxfId="22" priority="24">
      <formula>#REF!="No"</formula>
    </cfRule>
  </conditionalFormatting>
  <conditionalFormatting sqref="BV27:BV28">
    <cfRule type="expression" dxfId="21" priority="21">
      <formula>#REF!="No"</formula>
    </cfRule>
    <cfRule type="expression" dxfId="20" priority="22">
      <formula>#REF!="No"</formula>
    </cfRule>
  </conditionalFormatting>
  <hyperlinks>
    <hyperlink ref="G5" r:id="rId1" xr:uid="{3B10C354-4019-45E9-8100-B0896758C1D8}"/>
    <hyperlink ref="G30" r:id="rId2" xr:uid="{C8C27717-8B7D-4E9C-98A5-85B9207F35A4}"/>
    <hyperlink ref="K5" r:id="rId3" xr:uid="{8959EFC1-5850-4100-AECD-2DB9D0598C05}"/>
    <hyperlink ref="K30" r:id="rId4" xr:uid="{0E9DB18C-0617-41D0-BF26-DA64640EF8AC}"/>
    <hyperlink ref="O5" r:id="rId5" xr:uid="{2CE8AD16-72F6-4B32-B44F-C7E14D0027B5}"/>
    <hyperlink ref="O30" r:id="rId6" xr:uid="{6C8A582A-9727-497C-8C61-E64DB0353161}"/>
    <hyperlink ref="S5" r:id="rId7" xr:uid="{C01112B9-7BB1-44B8-AB20-B0A8742D54EC}"/>
    <hyperlink ref="S30" r:id="rId8" xr:uid="{6360D7E3-188D-4ECE-BF36-35C8FD927033}"/>
    <hyperlink ref="W5" r:id="rId9" xr:uid="{34489C9C-83EE-41F8-AD64-5AF59F086B58}"/>
    <hyperlink ref="W30" r:id="rId10" xr:uid="{877E1C5E-E108-4E3E-92DA-3F3A7AF7DA4E}"/>
    <hyperlink ref="AA5" r:id="rId11" xr:uid="{1B7CD0CE-9AB9-4E4C-9620-6E84CC89F587}"/>
    <hyperlink ref="AA30" r:id="rId12" xr:uid="{C7036DA6-B073-43A1-90E4-E4AF72946411}"/>
    <hyperlink ref="AE5" r:id="rId13" xr:uid="{0EE4FDAB-0831-4B66-9A07-7D778ACE2F67}"/>
    <hyperlink ref="AE30" r:id="rId14" xr:uid="{2828E21E-48E0-48F1-B6BE-94ABC6F3EB26}"/>
    <hyperlink ref="AI5" r:id="rId15" xr:uid="{AD05AED2-FFEE-4709-B9CE-71F6F80A68BE}"/>
    <hyperlink ref="AI30" r:id="rId16" xr:uid="{6C769A60-CDE6-4777-83B3-31F9DF165152}"/>
    <hyperlink ref="AM5" r:id="rId17" xr:uid="{1FE57CE6-B069-4F39-B911-5FBF65ADFEF4}"/>
    <hyperlink ref="AM30" r:id="rId18" xr:uid="{C9CBAD59-9A22-442C-8516-CCF75E785542}"/>
    <hyperlink ref="AQ5" r:id="rId19" xr:uid="{2DA22D08-F5AA-45BB-B3AF-968E64BD10D6}"/>
    <hyperlink ref="AQ30" r:id="rId20" xr:uid="{31D6D957-72E8-4864-8A67-55CB5BD50900}"/>
    <hyperlink ref="AU5" r:id="rId21" xr:uid="{832C5BE2-64FD-4C8A-BC1A-5FEE7871C06F}"/>
    <hyperlink ref="AU30" r:id="rId22" xr:uid="{7FB1B5EB-139C-4184-BB0B-464045FB59F6}"/>
    <hyperlink ref="AY5" r:id="rId23" xr:uid="{554F2FBE-5648-4F2D-9F50-FD0E84F71977}"/>
    <hyperlink ref="AY30" r:id="rId24" xr:uid="{C172F299-6611-4D6A-B335-A462828E0457}"/>
    <hyperlink ref="BC5" r:id="rId25" xr:uid="{E4B61631-E90B-474F-89B2-BE0D612B5006}"/>
    <hyperlink ref="BC30" r:id="rId26" xr:uid="{543610C6-4539-4676-816F-C94438782E0D}"/>
    <hyperlink ref="BG5" r:id="rId27" xr:uid="{A80BC6FB-89DC-40C7-83A6-2201DF288DA7}"/>
    <hyperlink ref="BG30" r:id="rId28" xr:uid="{5149B1A6-DF52-4D5B-8F11-200BE0CFEBCE}"/>
    <hyperlink ref="BK5" r:id="rId29" xr:uid="{CABC4BB3-F5E6-481C-9ADB-4E27BA65853B}"/>
    <hyperlink ref="BK30" r:id="rId30" xr:uid="{EB4C723D-F632-4C5E-8EF8-0E43717F4384}"/>
    <hyperlink ref="BO30" r:id="rId31" xr:uid="{446D4954-67C0-4DD4-B6DC-CEFBFE5DB7F8}"/>
    <hyperlink ref="BO5" r:id="rId32" xr:uid="{A3F58527-C2D2-4175-B1A3-64551E46704F}"/>
    <hyperlink ref="BS5" r:id="rId33" xr:uid="{1E807FB9-9147-4EF2-ACE0-B431BE3BB8BF}"/>
    <hyperlink ref="BS30" r:id="rId34" xr:uid="{5171A271-FDB8-462E-82D2-8E4E94D5FD2B}"/>
    <hyperlink ref="BW5" r:id="rId35" xr:uid="{2900FE91-5AD8-4E29-B837-B52DFEFE735B}"/>
    <hyperlink ref="BW30" r:id="rId36" xr:uid="{A8A5A3C0-3433-4445-B7C3-D7D774E78F87}"/>
  </hyperlinks>
  <pageMargins left="0.7" right="0.7" top="0.75" bottom="0.75" header="0.3" footer="0.3"/>
  <pageSetup orientation="portrait" r:id="rId3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94355-DDCF-4244-801F-9279FA8DDAB7}">
  <sheetPr codeName="Sheet9"/>
  <dimension ref="B4:AN84"/>
  <sheetViews>
    <sheetView zoomScale="70" zoomScaleNormal="70" workbookViewId="0">
      <selection activeCell="J17" sqref="J17"/>
    </sheetView>
  </sheetViews>
  <sheetFormatPr baseColWidth="10" defaultColWidth="8.83203125" defaultRowHeight="13"/>
  <cols>
    <col min="2" max="2" width="27.6640625" customWidth="1"/>
    <col min="3" max="3" width="15.6640625" customWidth="1"/>
    <col min="6" max="6" width="27.6640625" customWidth="1"/>
    <col min="7" max="7" width="15.6640625" customWidth="1"/>
    <col min="10" max="10" width="27.6640625" customWidth="1"/>
    <col min="11" max="11" width="15.6640625" customWidth="1"/>
    <col min="14" max="14" width="27.6640625" customWidth="1"/>
    <col min="15" max="15" width="15.6640625" customWidth="1"/>
    <col min="18" max="18" width="27.6640625" customWidth="1"/>
    <col min="19" max="19" width="15.6640625" customWidth="1"/>
    <col min="22" max="22" width="27.6640625" customWidth="1"/>
    <col min="23" max="23" width="15.6640625" customWidth="1"/>
    <col min="26" max="26" width="27.6640625" customWidth="1"/>
    <col min="27" max="27" width="15.6640625" customWidth="1"/>
    <col min="30" max="30" width="27.6640625" customWidth="1"/>
    <col min="31" max="31" width="15.6640625" customWidth="1"/>
    <col min="34" max="34" width="27.6640625" customWidth="1"/>
    <col min="35" max="35" width="15.6640625" customWidth="1"/>
    <col min="38" max="38" width="27.6640625" customWidth="1"/>
    <col min="39" max="39" width="15.6640625" customWidth="1"/>
  </cols>
  <sheetData>
    <row r="4" spans="2:40">
      <c r="B4" s="25" t="s">
        <v>503</v>
      </c>
      <c r="C4">
        <v>1</v>
      </c>
      <c r="F4" s="25" t="s">
        <v>504</v>
      </c>
      <c r="G4">
        <v>2</v>
      </c>
      <c r="J4" s="25" t="s">
        <v>505</v>
      </c>
      <c r="K4">
        <v>3</v>
      </c>
      <c r="N4" s="25" t="s">
        <v>506</v>
      </c>
      <c r="O4">
        <v>4</v>
      </c>
      <c r="R4" s="25" t="s">
        <v>507</v>
      </c>
      <c r="S4">
        <v>5</v>
      </c>
      <c r="V4" s="25" t="s">
        <v>508</v>
      </c>
      <c r="W4">
        <v>6</v>
      </c>
      <c r="Z4" s="25" t="s">
        <v>509</v>
      </c>
      <c r="AA4">
        <v>7</v>
      </c>
      <c r="AD4" s="25" t="s">
        <v>510</v>
      </c>
      <c r="AE4">
        <v>8</v>
      </c>
      <c r="AH4" s="25" t="s">
        <v>511</v>
      </c>
      <c r="AI4">
        <v>9</v>
      </c>
      <c r="AL4" s="25" t="s">
        <v>502</v>
      </c>
      <c r="AM4">
        <v>10</v>
      </c>
    </row>
    <row r="5" spans="2:40">
      <c r="B5" s="25" t="s">
        <v>455</v>
      </c>
      <c r="C5" s="232" t="s">
        <v>568</v>
      </c>
      <c r="F5" s="25" t="s">
        <v>455</v>
      </c>
      <c r="G5" s="232" t="s">
        <v>570</v>
      </c>
      <c r="J5" s="25" t="s">
        <v>455</v>
      </c>
      <c r="K5" s="232" t="s">
        <v>572</v>
      </c>
      <c r="N5" s="25" t="s">
        <v>455</v>
      </c>
      <c r="O5" s="232" t="s">
        <v>574</v>
      </c>
      <c r="R5" s="25" t="s">
        <v>455</v>
      </c>
      <c r="S5" s="232" t="s">
        <v>576</v>
      </c>
      <c r="V5" s="25" t="s">
        <v>455</v>
      </c>
      <c r="W5" s="232" t="s">
        <v>578</v>
      </c>
      <c r="Z5" s="25" t="s">
        <v>455</v>
      </c>
      <c r="AA5" s="232" t="s">
        <v>580</v>
      </c>
      <c r="AD5" s="25" t="s">
        <v>455</v>
      </c>
      <c r="AE5" s="232" t="s">
        <v>582</v>
      </c>
      <c r="AH5" s="25" t="s">
        <v>455</v>
      </c>
      <c r="AI5" s="232" t="s">
        <v>584</v>
      </c>
      <c r="AL5" s="25" t="s">
        <v>455</v>
      </c>
      <c r="AM5" s="232" t="s">
        <v>586</v>
      </c>
    </row>
    <row r="6" spans="2:40" ht="14">
      <c r="B6" s="25" t="s">
        <v>457</v>
      </c>
      <c r="C6">
        <v>175</v>
      </c>
      <c r="D6" s="25" t="s">
        <v>456</v>
      </c>
      <c r="F6" s="25" t="s">
        <v>457</v>
      </c>
      <c r="G6">
        <v>175</v>
      </c>
      <c r="H6" s="25" t="s">
        <v>456</v>
      </c>
      <c r="J6" s="25" t="s">
        <v>457</v>
      </c>
      <c r="K6">
        <v>150</v>
      </c>
      <c r="L6" s="25" t="s">
        <v>456</v>
      </c>
      <c r="N6" s="25" t="s">
        <v>457</v>
      </c>
      <c r="O6">
        <v>175</v>
      </c>
      <c r="P6" s="25" t="s">
        <v>456</v>
      </c>
      <c r="R6" s="25" t="s">
        <v>457</v>
      </c>
      <c r="S6">
        <v>150</v>
      </c>
      <c r="T6" s="25" t="s">
        <v>456</v>
      </c>
      <c r="V6" s="25" t="s">
        <v>457</v>
      </c>
      <c r="W6">
        <v>150</v>
      </c>
      <c r="X6" s="25" t="s">
        <v>456</v>
      </c>
      <c r="Z6" s="25" t="s">
        <v>457</v>
      </c>
      <c r="AA6">
        <v>150</v>
      </c>
      <c r="AB6" s="25" t="s">
        <v>456</v>
      </c>
      <c r="AD6" s="25" t="s">
        <v>457</v>
      </c>
      <c r="AE6">
        <v>150</v>
      </c>
      <c r="AF6" s="25" t="s">
        <v>456</v>
      </c>
      <c r="AH6" s="25" t="s">
        <v>457</v>
      </c>
      <c r="AI6">
        <v>150</v>
      </c>
      <c r="AJ6" s="25" t="s">
        <v>456</v>
      </c>
      <c r="AL6" s="25" t="s">
        <v>457</v>
      </c>
      <c r="AM6">
        <v>150</v>
      </c>
      <c r="AN6" s="25" t="s">
        <v>456</v>
      </c>
    </row>
    <row r="7" spans="2:40" ht="14">
      <c r="B7" s="25" t="s">
        <v>458</v>
      </c>
      <c r="C7">
        <v>2.4</v>
      </c>
      <c r="D7" s="25" t="s">
        <v>459</v>
      </c>
      <c r="F7" s="25" t="s">
        <v>458</v>
      </c>
      <c r="G7">
        <v>3.4</v>
      </c>
      <c r="H7" s="25" t="s">
        <v>459</v>
      </c>
      <c r="J7" s="25" t="s">
        <v>458</v>
      </c>
      <c r="K7">
        <v>4.9000000000000004</v>
      </c>
      <c r="L7" s="25" t="s">
        <v>459</v>
      </c>
      <c r="N7" s="25" t="s">
        <v>458</v>
      </c>
      <c r="O7">
        <v>5.6</v>
      </c>
      <c r="P7" s="25" t="s">
        <v>459</v>
      </c>
      <c r="R7" s="25" t="s">
        <v>458</v>
      </c>
      <c r="S7">
        <v>6.4</v>
      </c>
      <c r="T7" s="25" t="s">
        <v>459</v>
      </c>
      <c r="V7" s="25" t="s">
        <v>458</v>
      </c>
      <c r="W7">
        <v>9.4</v>
      </c>
      <c r="X7" s="25" t="s">
        <v>459</v>
      </c>
      <c r="Z7" s="25" t="s">
        <v>458</v>
      </c>
      <c r="AA7">
        <v>14.5</v>
      </c>
      <c r="AB7" s="25" t="s">
        <v>459</v>
      </c>
      <c r="AD7" s="25" t="s">
        <v>458</v>
      </c>
      <c r="AE7">
        <v>15.1</v>
      </c>
      <c r="AF7" s="25" t="s">
        <v>459</v>
      </c>
      <c r="AH7" s="25" t="s">
        <v>458</v>
      </c>
      <c r="AI7">
        <v>59</v>
      </c>
      <c r="AJ7" s="25" t="s">
        <v>459</v>
      </c>
      <c r="AL7" s="25" t="s">
        <v>458</v>
      </c>
      <c r="AM7">
        <v>59</v>
      </c>
      <c r="AN7" s="25" t="s">
        <v>459</v>
      </c>
    </row>
    <row r="9" spans="2:40">
      <c r="B9" s="25" t="s">
        <v>460</v>
      </c>
      <c r="F9" s="25" t="s">
        <v>460</v>
      </c>
      <c r="J9" s="25" t="s">
        <v>460</v>
      </c>
      <c r="N9" s="25" t="s">
        <v>460</v>
      </c>
      <c r="R9" s="25" t="s">
        <v>460</v>
      </c>
      <c r="V9" s="25" t="s">
        <v>460</v>
      </c>
      <c r="Z9" s="25" t="s">
        <v>460</v>
      </c>
      <c r="AD9" s="25" t="s">
        <v>460</v>
      </c>
      <c r="AH9" s="25" t="s">
        <v>460</v>
      </c>
      <c r="AL9" s="25" t="s">
        <v>460</v>
      </c>
    </row>
    <row r="10" spans="2:40">
      <c r="B10" s="25"/>
      <c r="F10" s="25"/>
      <c r="J10" s="25"/>
      <c r="N10" s="25"/>
      <c r="R10" s="25"/>
      <c r="V10" s="25"/>
      <c r="Z10" s="25"/>
      <c r="AD10" s="25"/>
      <c r="AH10" s="25"/>
      <c r="AL10" s="25"/>
    </row>
    <row r="11" spans="2:40">
      <c r="B11">
        <v>70</v>
      </c>
      <c r="C11">
        <v>1.25</v>
      </c>
      <c r="F11">
        <v>70</v>
      </c>
      <c r="G11">
        <v>1.33</v>
      </c>
      <c r="J11">
        <v>70</v>
      </c>
      <c r="K11">
        <v>1.33</v>
      </c>
      <c r="N11">
        <v>70</v>
      </c>
      <c r="O11">
        <v>1.33</v>
      </c>
      <c r="R11">
        <v>70</v>
      </c>
      <c r="S11">
        <v>1.31</v>
      </c>
      <c r="V11">
        <v>70</v>
      </c>
      <c r="W11">
        <v>1.34</v>
      </c>
      <c r="Z11">
        <v>70</v>
      </c>
      <c r="AA11">
        <v>1.34</v>
      </c>
      <c r="AD11">
        <v>70</v>
      </c>
      <c r="AE11">
        <v>1.3</v>
      </c>
      <c r="AH11">
        <v>70</v>
      </c>
      <c r="AI11">
        <v>1.32</v>
      </c>
      <c r="AL11">
        <v>70</v>
      </c>
      <c r="AM11">
        <v>1.28</v>
      </c>
    </row>
    <row r="12" spans="2:40">
      <c r="B12">
        <v>75</v>
      </c>
      <c r="C12">
        <v>1.28</v>
      </c>
      <c r="F12">
        <v>75</v>
      </c>
      <c r="G12">
        <v>1.37</v>
      </c>
      <c r="J12">
        <v>75</v>
      </c>
      <c r="K12">
        <v>1.37</v>
      </c>
      <c r="N12">
        <v>75</v>
      </c>
      <c r="O12">
        <v>1.37</v>
      </c>
      <c r="R12">
        <v>75</v>
      </c>
      <c r="S12">
        <v>1.35</v>
      </c>
      <c r="V12">
        <v>75</v>
      </c>
      <c r="W12">
        <v>1.38</v>
      </c>
      <c r="Z12">
        <v>75</v>
      </c>
      <c r="AA12">
        <v>1.38</v>
      </c>
      <c r="AD12">
        <v>75</v>
      </c>
      <c r="AE12">
        <v>1.34</v>
      </c>
      <c r="AH12">
        <v>75</v>
      </c>
      <c r="AI12">
        <v>1.36</v>
      </c>
      <c r="AL12">
        <v>75</v>
      </c>
      <c r="AM12">
        <v>1.32</v>
      </c>
    </row>
    <row r="13" spans="2:40">
      <c r="B13">
        <v>80</v>
      </c>
      <c r="C13">
        <v>1.31</v>
      </c>
      <c r="F13">
        <v>80</v>
      </c>
      <c r="G13">
        <v>1.41</v>
      </c>
      <c r="J13">
        <v>80</v>
      </c>
      <c r="K13">
        <v>1.41</v>
      </c>
      <c r="N13">
        <v>80</v>
      </c>
      <c r="O13">
        <v>1.42</v>
      </c>
      <c r="R13">
        <v>80</v>
      </c>
      <c r="S13">
        <v>1.39</v>
      </c>
      <c r="V13">
        <v>80</v>
      </c>
      <c r="W13">
        <v>1.42</v>
      </c>
      <c r="Z13">
        <v>80</v>
      </c>
      <c r="AA13">
        <v>1.43</v>
      </c>
      <c r="AD13">
        <v>80</v>
      </c>
      <c r="AE13">
        <v>1.38</v>
      </c>
      <c r="AH13">
        <v>80</v>
      </c>
      <c r="AI13">
        <v>1.4</v>
      </c>
      <c r="AL13">
        <v>80</v>
      </c>
      <c r="AM13">
        <v>1.35</v>
      </c>
    </row>
    <row r="14" spans="2:40">
      <c r="B14">
        <v>85</v>
      </c>
      <c r="C14">
        <v>1.35</v>
      </c>
      <c r="F14">
        <v>85</v>
      </c>
      <c r="G14">
        <v>1.45</v>
      </c>
      <c r="J14">
        <v>85</v>
      </c>
      <c r="K14">
        <v>1.46</v>
      </c>
      <c r="N14">
        <v>85</v>
      </c>
      <c r="O14">
        <v>1.46</v>
      </c>
      <c r="R14">
        <v>85</v>
      </c>
      <c r="S14">
        <v>1.43</v>
      </c>
      <c r="V14">
        <v>85</v>
      </c>
      <c r="W14">
        <v>1.46</v>
      </c>
      <c r="Z14">
        <v>85</v>
      </c>
      <c r="AA14">
        <v>1.47</v>
      </c>
      <c r="AD14">
        <v>85</v>
      </c>
      <c r="AE14">
        <v>1.41</v>
      </c>
      <c r="AH14">
        <v>85</v>
      </c>
      <c r="AI14">
        <v>1.45</v>
      </c>
      <c r="AL14">
        <v>85</v>
      </c>
      <c r="AM14">
        <v>1.39</v>
      </c>
    </row>
    <row r="15" spans="2:40">
      <c r="B15">
        <v>90</v>
      </c>
      <c r="C15" s="25">
        <v>1.38</v>
      </c>
      <c r="F15">
        <v>90</v>
      </c>
      <c r="G15" s="25">
        <v>1.49</v>
      </c>
      <c r="J15">
        <v>90</v>
      </c>
      <c r="K15" s="25">
        <v>1.5</v>
      </c>
      <c r="N15">
        <v>90</v>
      </c>
      <c r="O15" s="25">
        <v>1.51</v>
      </c>
      <c r="R15">
        <v>90</v>
      </c>
      <c r="S15" s="25">
        <v>1.47</v>
      </c>
      <c r="V15">
        <v>90</v>
      </c>
      <c r="W15" s="25">
        <v>1.51</v>
      </c>
      <c r="Z15">
        <v>90</v>
      </c>
      <c r="AA15" s="25">
        <v>1.52</v>
      </c>
      <c r="AD15">
        <v>90</v>
      </c>
      <c r="AE15" s="25">
        <v>1.45</v>
      </c>
      <c r="AH15">
        <v>90</v>
      </c>
      <c r="AI15" s="25">
        <v>1.49</v>
      </c>
      <c r="AL15">
        <v>90</v>
      </c>
      <c r="AM15" s="25">
        <v>1.42</v>
      </c>
    </row>
    <row r="16" spans="2:40">
      <c r="B16">
        <v>95</v>
      </c>
      <c r="C16" s="25">
        <v>1.41</v>
      </c>
      <c r="F16">
        <v>95</v>
      </c>
      <c r="G16" s="25">
        <v>1.54</v>
      </c>
      <c r="J16">
        <v>95</v>
      </c>
      <c r="K16" s="25">
        <v>1.55</v>
      </c>
      <c r="N16">
        <v>95</v>
      </c>
      <c r="O16" s="25">
        <v>1.55</v>
      </c>
      <c r="R16">
        <v>95</v>
      </c>
      <c r="S16" s="25">
        <v>1.52</v>
      </c>
      <c r="V16">
        <v>95</v>
      </c>
      <c r="W16" s="25">
        <v>1.56</v>
      </c>
      <c r="Z16">
        <v>95</v>
      </c>
      <c r="AA16" s="25">
        <v>1.56</v>
      </c>
      <c r="AD16">
        <v>95</v>
      </c>
      <c r="AE16" s="25">
        <v>1.49</v>
      </c>
      <c r="AH16">
        <v>95</v>
      </c>
      <c r="AI16" s="25">
        <v>1.53</v>
      </c>
      <c r="AL16">
        <v>95</v>
      </c>
      <c r="AM16" s="25">
        <v>1.46</v>
      </c>
    </row>
    <row r="17" spans="2:40">
      <c r="B17">
        <v>100</v>
      </c>
      <c r="C17" s="25">
        <v>1.44</v>
      </c>
      <c r="F17">
        <v>100</v>
      </c>
      <c r="G17" s="25">
        <v>1.58</v>
      </c>
      <c r="J17">
        <v>100</v>
      </c>
      <c r="K17" s="25">
        <v>1.59</v>
      </c>
      <c r="N17">
        <v>100</v>
      </c>
      <c r="O17" s="25">
        <v>1.6</v>
      </c>
      <c r="R17">
        <v>100</v>
      </c>
      <c r="S17" s="25">
        <v>1.56</v>
      </c>
      <c r="V17">
        <v>100</v>
      </c>
      <c r="W17" s="25">
        <v>1.6</v>
      </c>
      <c r="Z17">
        <v>100</v>
      </c>
      <c r="AA17" s="25">
        <v>1.61</v>
      </c>
      <c r="AD17">
        <v>100</v>
      </c>
      <c r="AE17" s="25">
        <v>1.53</v>
      </c>
      <c r="AH17">
        <v>100</v>
      </c>
      <c r="AI17" s="25">
        <v>1.58</v>
      </c>
      <c r="AL17">
        <v>100</v>
      </c>
      <c r="AM17" s="25">
        <v>1.5</v>
      </c>
    </row>
    <row r="18" spans="2:40">
      <c r="B18">
        <v>105</v>
      </c>
      <c r="C18" s="25">
        <v>1.48</v>
      </c>
      <c r="F18">
        <v>105</v>
      </c>
      <c r="G18" s="25">
        <v>1.63</v>
      </c>
      <c r="J18">
        <v>105</v>
      </c>
      <c r="K18" s="25">
        <v>1.64</v>
      </c>
      <c r="N18">
        <v>105</v>
      </c>
      <c r="O18" s="25">
        <v>1.64</v>
      </c>
      <c r="R18">
        <v>105</v>
      </c>
      <c r="S18" s="25">
        <v>1.61</v>
      </c>
      <c r="V18">
        <v>105</v>
      </c>
      <c r="W18" s="25">
        <v>1.65</v>
      </c>
      <c r="Z18">
        <v>105</v>
      </c>
      <c r="AA18" s="25">
        <v>1.66</v>
      </c>
      <c r="AD18">
        <v>105</v>
      </c>
      <c r="AE18" s="25">
        <v>1.57</v>
      </c>
      <c r="AH18">
        <v>105</v>
      </c>
      <c r="AI18" s="25">
        <v>1.63</v>
      </c>
      <c r="AL18">
        <v>105</v>
      </c>
      <c r="AM18" s="25">
        <v>1.53</v>
      </c>
    </row>
    <row r="19" spans="2:40">
      <c r="B19">
        <v>110</v>
      </c>
      <c r="C19" s="25">
        <v>1.51</v>
      </c>
      <c r="F19">
        <v>110</v>
      </c>
      <c r="G19" s="25">
        <v>1.68</v>
      </c>
      <c r="J19">
        <v>110</v>
      </c>
      <c r="K19" s="25">
        <v>1.69</v>
      </c>
      <c r="N19">
        <v>110</v>
      </c>
      <c r="O19" s="25">
        <v>1.69</v>
      </c>
      <c r="R19">
        <v>110</v>
      </c>
      <c r="S19" s="25">
        <v>1.65</v>
      </c>
      <c r="V19">
        <v>110</v>
      </c>
      <c r="W19" s="25">
        <v>1.7</v>
      </c>
      <c r="Z19">
        <v>110</v>
      </c>
      <c r="AA19" s="25">
        <v>1.71</v>
      </c>
      <c r="AD19">
        <v>110</v>
      </c>
      <c r="AE19" s="25">
        <v>1.6</v>
      </c>
      <c r="AH19">
        <v>110</v>
      </c>
      <c r="AI19" s="25">
        <v>1.67</v>
      </c>
      <c r="AL19">
        <v>110</v>
      </c>
      <c r="AM19" s="25">
        <v>1.57</v>
      </c>
    </row>
    <row r="20" spans="2:40">
      <c r="B20">
        <v>115</v>
      </c>
      <c r="C20" s="25">
        <v>1.55</v>
      </c>
      <c r="F20">
        <v>115</v>
      </c>
      <c r="G20" s="25">
        <v>1.73</v>
      </c>
      <c r="J20">
        <v>115</v>
      </c>
      <c r="K20" s="25">
        <v>1.74</v>
      </c>
      <c r="N20">
        <v>115</v>
      </c>
      <c r="O20" s="25">
        <v>1.74</v>
      </c>
      <c r="R20">
        <v>115</v>
      </c>
      <c r="S20" s="25">
        <v>1.7</v>
      </c>
      <c r="V20">
        <v>115</v>
      </c>
      <c r="W20" s="25">
        <v>1.75</v>
      </c>
      <c r="Z20">
        <v>115</v>
      </c>
      <c r="AA20" s="25">
        <v>1.76</v>
      </c>
      <c r="AD20">
        <v>115</v>
      </c>
      <c r="AE20" s="25">
        <v>1.64</v>
      </c>
      <c r="AH20">
        <v>115</v>
      </c>
      <c r="AI20" s="25">
        <v>1.72</v>
      </c>
      <c r="AL20">
        <v>115</v>
      </c>
      <c r="AM20" s="25">
        <v>1.61</v>
      </c>
    </row>
    <row r="21" spans="2:40">
      <c r="B21">
        <v>120</v>
      </c>
      <c r="C21" s="25">
        <v>1.58</v>
      </c>
      <c r="F21">
        <v>120</v>
      </c>
      <c r="G21" s="25">
        <v>1.78</v>
      </c>
      <c r="J21">
        <v>120</v>
      </c>
      <c r="K21" s="25">
        <v>1.79</v>
      </c>
      <c r="N21">
        <v>120</v>
      </c>
      <c r="O21" s="25">
        <v>1.79</v>
      </c>
      <c r="R21">
        <v>120</v>
      </c>
      <c r="S21" s="25">
        <v>1.75</v>
      </c>
      <c r="V21">
        <v>120</v>
      </c>
      <c r="W21" s="25">
        <v>1.8</v>
      </c>
      <c r="Z21">
        <v>120</v>
      </c>
      <c r="AA21" s="25">
        <v>1.81</v>
      </c>
      <c r="AD21">
        <v>120</v>
      </c>
      <c r="AE21" s="25">
        <v>1.68</v>
      </c>
      <c r="AH21">
        <v>120</v>
      </c>
      <c r="AI21" s="25">
        <v>1.77</v>
      </c>
      <c r="AL21">
        <v>120</v>
      </c>
      <c r="AM21" s="25">
        <v>1.65</v>
      </c>
    </row>
    <row r="22" spans="2:40">
      <c r="B22">
        <v>125</v>
      </c>
      <c r="C22" s="25">
        <v>1.62</v>
      </c>
      <c r="F22">
        <v>125</v>
      </c>
      <c r="G22" s="25">
        <v>1.83</v>
      </c>
      <c r="J22">
        <v>125</v>
      </c>
      <c r="K22" s="25">
        <v>1.84</v>
      </c>
      <c r="N22">
        <v>125</v>
      </c>
      <c r="O22" s="25">
        <v>1.84</v>
      </c>
      <c r="R22">
        <v>125</v>
      </c>
      <c r="S22" s="25">
        <v>1.8</v>
      </c>
      <c r="V22">
        <v>125</v>
      </c>
      <c r="W22" s="25">
        <v>1.85</v>
      </c>
      <c r="Z22">
        <v>125</v>
      </c>
      <c r="AA22" s="25">
        <v>1.86</v>
      </c>
      <c r="AD22">
        <v>125</v>
      </c>
      <c r="AE22" s="25">
        <v>1.73</v>
      </c>
      <c r="AH22">
        <v>125</v>
      </c>
      <c r="AI22" s="25">
        <v>1.82</v>
      </c>
      <c r="AL22">
        <v>125</v>
      </c>
      <c r="AM22" s="25">
        <v>1.69</v>
      </c>
    </row>
    <row r="23" spans="2:40">
      <c r="B23">
        <v>130</v>
      </c>
      <c r="C23" s="25">
        <v>1.65</v>
      </c>
      <c r="F23">
        <v>130</v>
      </c>
      <c r="G23" s="25">
        <v>1.88</v>
      </c>
      <c r="J23">
        <v>130</v>
      </c>
      <c r="K23" s="25">
        <v>1.89</v>
      </c>
      <c r="N23">
        <v>130</v>
      </c>
      <c r="O23" s="25">
        <v>1.9</v>
      </c>
      <c r="R23">
        <v>130</v>
      </c>
      <c r="S23" s="25">
        <v>1.85</v>
      </c>
      <c r="V23">
        <v>130</v>
      </c>
      <c r="W23" s="25">
        <v>1.91</v>
      </c>
      <c r="Z23">
        <v>130</v>
      </c>
      <c r="AA23" s="25">
        <v>1.91</v>
      </c>
      <c r="AD23">
        <v>130</v>
      </c>
      <c r="AE23" s="25">
        <v>1.77</v>
      </c>
      <c r="AH23">
        <v>130</v>
      </c>
      <c r="AI23" s="25">
        <v>1.87</v>
      </c>
      <c r="AL23">
        <v>130</v>
      </c>
      <c r="AM23" s="25">
        <v>1.73</v>
      </c>
    </row>
    <row r="24" spans="2:40">
      <c r="C24" s="25"/>
      <c r="G24" s="25"/>
      <c r="K24" s="25"/>
      <c r="O24" s="25"/>
      <c r="S24" s="25"/>
      <c r="W24" s="25"/>
      <c r="AA24" s="25"/>
      <c r="AE24" s="25"/>
      <c r="AI24" s="25"/>
      <c r="AM24" s="25"/>
    </row>
    <row r="25" spans="2:40">
      <c r="B25" s="25" t="s">
        <v>461</v>
      </c>
      <c r="C25">
        <f>IOUTMAX</f>
        <v>20</v>
      </c>
      <c r="D25" s="25" t="s">
        <v>25</v>
      </c>
      <c r="F25" s="25" t="s">
        <v>461</v>
      </c>
      <c r="G25">
        <f>IOUTMAX</f>
        <v>20</v>
      </c>
      <c r="H25" s="25" t="s">
        <v>25</v>
      </c>
      <c r="J25" s="25" t="s">
        <v>461</v>
      </c>
      <c r="K25">
        <f>IOUTMAX</f>
        <v>20</v>
      </c>
      <c r="L25" s="25" t="s">
        <v>25</v>
      </c>
      <c r="N25" s="25" t="s">
        <v>461</v>
      </c>
      <c r="O25">
        <f>IOUTMAX</f>
        <v>20</v>
      </c>
      <c r="P25" s="25" t="s">
        <v>25</v>
      </c>
      <c r="R25" s="25" t="s">
        <v>461</v>
      </c>
      <c r="S25">
        <f>IOUTMAX</f>
        <v>20</v>
      </c>
      <c r="T25" s="25" t="s">
        <v>25</v>
      </c>
      <c r="V25" s="25" t="s">
        <v>461</v>
      </c>
      <c r="W25">
        <f>IOUTMAX</f>
        <v>20</v>
      </c>
      <c r="X25" s="25" t="s">
        <v>25</v>
      </c>
      <c r="Z25" s="25" t="s">
        <v>461</v>
      </c>
      <c r="AA25">
        <f>IOUTMAX</f>
        <v>20</v>
      </c>
      <c r="AB25" s="25" t="s">
        <v>25</v>
      </c>
      <c r="AD25" s="25" t="s">
        <v>461</v>
      </c>
      <c r="AE25">
        <f>IOUTMAX</f>
        <v>20</v>
      </c>
      <c r="AF25" s="25" t="s">
        <v>25</v>
      </c>
      <c r="AH25" s="25" t="s">
        <v>461</v>
      </c>
      <c r="AI25">
        <f>IOUTMAX</f>
        <v>20</v>
      </c>
      <c r="AJ25" s="25" t="s">
        <v>25</v>
      </c>
      <c r="AL25" s="25" t="s">
        <v>461</v>
      </c>
      <c r="AM25">
        <f>IOUTMAX</f>
        <v>20</v>
      </c>
      <c r="AN25" s="25" t="s">
        <v>25</v>
      </c>
    </row>
    <row r="26" spans="2:40" ht="14">
      <c r="B26" s="25" t="s">
        <v>462</v>
      </c>
      <c r="C26">
        <f>TAMB</f>
        <v>85</v>
      </c>
      <c r="D26" s="25" t="s">
        <v>456</v>
      </c>
      <c r="F26" s="25" t="s">
        <v>462</v>
      </c>
      <c r="G26">
        <f>TAMB</f>
        <v>85</v>
      </c>
      <c r="H26" s="25" t="s">
        <v>456</v>
      </c>
      <c r="J26" s="25" t="s">
        <v>462</v>
      </c>
      <c r="K26">
        <f>TAMB</f>
        <v>85</v>
      </c>
      <c r="L26" s="25" t="s">
        <v>456</v>
      </c>
      <c r="N26" s="25" t="s">
        <v>462</v>
      </c>
      <c r="O26">
        <f>TAMB</f>
        <v>85</v>
      </c>
      <c r="P26" s="25" t="s">
        <v>456</v>
      </c>
      <c r="R26" s="25" t="s">
        <v>462</v>
      </c>
      <c r="S26">
        <f>TAMB</f>
        <v>85</v>
      </c>
      <c r="T26" s="25" t="s">
        <v>456</v>
      </c>
      <c r="V26" s="25" t="s">
        <v>462</v>
      </c>
      <c r="W26">
        <f>TAMB</f>
        <v>85</v>
      </c>
      <c r="X26" s="25" t="s">
        <v>456</v>
      </c>
      <c r="Z26" s="25" t="s">
        <v>462</v>
      </c>
      <c r="AA26">
        <f>TAMB</f>
        <v>85</v>
      </c>
      <c r="AB26" s="25" t="s">
        <v>456</v>
      </c>
      <c r="AD26" s="25" t="s">
        <v>462</v>
      </c>
      <c r="AE26">
        <f>TAMB</f>
        <v>85</v>
      </c>
      <c r="AF26" s="25" t="s">
        <v>456</v>
      </c>
      <c r="AH26" s="25" t="s">
        <v>462</v>
      </c>
      <c r="AI26">
        <f>TAMB</f>
        <v>85</v>
      </c>
      <c r="AJ26" s="25" t="s">
        <v>456</v>
      </c>
      <c r="AL26" s="25" t="s">
        <v>462</v>
      </c>
      <c r="AM26">
        <f>TAMB</f>
        <v>85</v>
      </c>
      <c r="AN26" s="25" t="s">
        <v>456</v>
      </c>
    </row>
    <row r="27" spans="2:40" ht="15">
      <c r="B27" s="29" t="s">
        <v>463</v>
      </c>
      <c r="C27">
        <f>ThetaJA</f>
        <v>30</v>
      </c>
      <c r="D27" s="25" t="s">
        <v>482</v>
      </c>
      <c r="F27" s="29" t="s">
        <v>463</v>
      </c>
      <c r="G27">
        <f>ThetaJA</f>
        <v>30</v>
      </c>
      <c r="H27" s="25" t="s">
        <v>482</v>
      </c>
      <c r="J27" s="29" t="s">
        <v>463</v>
      </c>
      <c r="K27">
        <f>ThetaJA</f>
        <v>30</v>
      </c>
      <c r="L27" s="25" t="s">
        <v>482</v>
      </c>
      <c r="N27" s="29" t="s">
        <v>463</v>
      </c>
      <c r="O27">
        <f>ThetaJA</f>
        <v>30</v>
      </c>
      <c r="P27" s="25" t="s">
        <v>482</v>
      </c>
      <c r="R27" s="29" t="s">
        <v>463</v>
      </c>
      <c r="S27">
        <f>ThetaJA</f>
        <v>30</v>
      </c>
      <c r="T27" s="25" t="s">
        <v>482</v>
      </c>
      <c r="V27" s="29" t="s">
        <v>463</v>
      </c>
      <c r="W27">
        <f>ThetaJA</f>
        <v>30</v>
      </c>
      <c r="X27" s="25" t="s">
        <v>482</v>
      </c>
      <c r="Z27" s="29" t="s">
        <v>463</v>
      </c>
      <c r="AA27">
        <f>ThetaJA</f>
        <v>30</v>
      </c>
      <c r="AB27" s="25" t="s">
        <v>482</v>
      </c>
      <c r="AD27" s="29" t="s">
        <v>463</v>
      </c>
      <c r="AE27">
        <f>ThetaJA</f>
        <v>30</v>
      </c>
      <c r="AF27" s="25" t="s">
        <v>482</v>
      </c>
      <c r="AH27" s="29" t="s">
        <v>463</v>
      </c>
      <c r="AI27">
        <f>ThetaJA</f>
        <v>30</v>
      </c>
      <c r="AJ27" s="25" t="s">
        <v>482</v>
      </c>
      <c r="AL27" s="29" t="s">
        <v>463</v>
      </c>
      <c r="AM27">
        <f>ThetaJA</f>
        <v>30</v>
      </c>
      <c r="AN27" s="25" t="s">
        <v>482</v>
      </c>
    </row>
    <row r="28" spans="2:40" ht="14">
      <c r="B28" s="29" t="s">
        <v>464</v>
      </c>
      <c r="C28" s="98">
        <f>'Design Calculator'!F25</f>
        <v>100</v>
      </c>
      <c r="D28" s="25" t="s">
        <v>456</v>
      </c>
      <c r="F28" s="29" t="s">
        <v>464</v>
      </c>
      <c r="G28" s="98">
        <f>'Design Calculator'!F25</f>
        <v>100</v>
      </c>
      <c r="H28" s="25" t="s">
        <v>456</v>
      </c>
      <c r="J28" s="29" t="s">
        <v>464</v>
      </c>
      <c r="K28" s="98">
        <f>'Design Calculator'!F25</f>
        <v>100</v>
      </c>
      <c r="L28" s="25" t="s">
        <v>456</v>
      </c>
      <c r="N28" s="29" t="s">
        <v>464</v>
      </c>
      <c r="O28" s="98">
        <f>'Design Calculator'!F25</f>
        <v>100</v>
      </c>
      <c r="P28" s="25" t="s">
        <v>456</v>
      </c>
      <c r="R28" s="29" t="s">
        <v>464</v>
      </c>
      <c r="S28" s="98">
        <f>'Design Calculator'!F25</f>
        <v>100</v>
      </c>
      <c r="T28" s="25" t="s">
        <v>456</v>
      </c>
      <c r="V28" s="29" t="s">
        <v>464</v>
      </c>
      <c r="W28" s="98">
        <f>'Design Calculator'!F25</f>
        <v>100</v>
      </c>
      <c r="X28" s="25" t="s">
        <v>456</v>
      </c>
      <c r="Z28" s="29" t="s">
        <v>464</v>
      </c>
      <c r="AA28" s="98">
        <f>'Design Calculator'!F25</f>
        <v>100</v>
      </c>
      <c r="AB28" s="25" t="s">
        <v>456</v>
      </c>
      <c r="AD28" s="29" t="s">
        <v>464</v>
      </c>
      <c r="AE28" s="98">
        <f>'Design Calculator'!F25</f>
        <v>100</v>
      </c>
      <c r="AF28" s="25" t="s">
        <v>456</v>
      </c>
      <c r="AH28" s="29" t="s">
        <v>464</v>
      </c>
      <c r="AI28" s="98">
        <f>'Design Calculator'!F25</f>
        <v>100</v>
      </c>
      <c r="AJ28" s="25" t="s">
        <v>456</v>
      </c>
      <c r="AL28" s="29" t="s">
        <v>464</v>
      </c>
      <c r="AM28" s="98">
        <f>'Design Calculator'!F25</f>
        <v>100</v>
      </c>
      <c r="AN28" s="25" t="s">
        <v>456</v>
      </c>
    </row>
    <row r="29" spans="2:40">
      <c r="C29">
        <f>LOOKUP(C28,B11:B23,C11:C23)</f>
        <v>1.44</v>
      </c>
      <c r="G29">
        <f>LOOKUP(G28,F11:F23,G11:G23)</f>
        <v>1.58</v>
      </c>
      <c r="K29">
        <f>LOOKUP(K28,J11:J23,K11:K23)</f>
        <v>1.59</v>
      </c>
      <c r="O29">
        <f>LOOKUP(O28,N11:N23,O11:O23)</f>
        <v>1.6</v>
      </c>
      <c r="S29">
        <f>LOOKUP(S28,R11:R23,S11:S23)</f>
        <v>1.56</v>
      </c>
      <c r="W29">
        <f>LOOKUP(W28,V11:V23,W11:W23)</f>
        <v>1.6</v>
      </c>
      <c r="AA29">
        <f>LOOKUP(AA28,Z11:Z23,AA11:AA23)</f>
        <v>1.61</v>
      </c>
      <c r="AE29">
        <f>LOOKUP(AE28,AD11:AD23,AE11:AE23)</f>
        <v>1.53</v>
      </c>
      <c r="AI29">
        <f>LOOKUP(AI28,AH11:AH23,AI11:AI23)</f>
        <v>1.58</v>
      </c>
      <c r="AM29">
        <f>LOOKUP(AM28,AL11:AL23,AM11:AM23)</f>
        <v>1.5</v>
      </c>
    </row>
    <row r="30" spans="2:40">
      <c r="B30" t="s">
        <v>465</v>
      </c>
      <c r="C30" s="232" t="s">
        <v>569</v>
      </c>
      <c r="F30" t="s">
        <v>465</v>
      </c>
      <c r="G30" s="232" t="s">
        <v>571</v>
      </c>
      <c r="J30" t="s">
        <v>465</v>
      </c>
      <c r="K30" s="232" t="s">
        <v>573</v>
      </c>
      <c r="N30" t="s">
        <v>465</v>
      </c>
      <c r="O30" s="232" t="s">
        <v>575</v>
      </c>
      <c r="R30" t="s">
        <v>465</v>
      </c>
      <c r="S30" s="232" t="s">
        <v>577</v>
      </c>
      <c r="V30" t="s">
        <v>465</v>
      </c>
      <c r="W30" s="232" t="s">
        <v>579</v>
      </c>
      <c r="Z30" t="s">
        <v>465</v>
      </c>
      <c r="AA30" s="232" t="s">
        <v>581</v>
      </c>
      <c r="AD30" t="s">
        <v>465</v>
      </c>
      <c r="AE30" s="232" t="s">
        <v>583</v>
      </c>
      <c r="AH30" t="s">
        <v>465</v>
      </c>
      <c r="AI30" s="232" t="s">
        <v>585</v>
      </c>
      <c r="AL30" t="s">
        <v>465</v>
      </c>
      <c r="AM30" s="232" t="s">
        <v>587</v>
      </c>
    </row>
    <row r="31" spans="2:40">
      <c r="B31" s="25" t="s">
        <v>466</v>
      </c>
      <c r="C31">
        <f>SQRT((C25*C25*C29*C7*C27)/(1000*(C28-C26)))</f>
        <v>1.6627687752661222</v>
      </c>
      <c r="F31" s="25" t="s">
        <v>466</v>
      </c>
      <c r="G31">
        <f>SQRT((G25*G25*G29*G7*G27)/(1000*(G28-G26)))</f>
        <v>2.0730653631759899</v>
      </c>
      <c r="J31" s="25" t="s">
        <v>466</v>
      </c>
      <c r="K31">
        <f>SQRT((K25*K25*K29*K7*K27)/(1000*(K28-K26)))</f>
        <v>2.4965576300177812</v>
      </c>
      <c r="N31" s="25" t="s">
        <v>466</v>
      </c>
      <c r="O31">
        <f>SQRT((O25*O25*O29*O7*O27)/(1000*(O28-O26)))</f>
        <v>2.6773120849090417</v>
      </c>
      <c r="R31" s="25" t="s">
        <v>466</v>
      </c>
      <c r="S31">
        <f>SQRT((S25*S25*S29*S7*S27)/(1000*(S28-S26)))</f>
        <v>2.8261634772249113</v>
      </c>
      <c r="V31" s="25" t="s">
        <v>466</v>
      </c>
      <c r="W31">
        <f>SQRT((W25*W25*W29*W7*W27)/(1000*(W28-W26)))</f>
        <v>3.4687173421886079</v>
      </c>
      <c r="Z31" s="25" t="s">
        <v>466</v>
      </c>
      <c r="AA31">
        <f>SQRT((AA25*AA25*AA29*AA7*AA27)/(1000*(AA28-AA26)))</f>
        <v>4.3215737874066198</v>
      </c>
      <c r="AD31" s="25" t="s">
        <v>466</v>
      </c>
      <c r="AE31">
        <f>SQRT((AE25*AE25*AE29*AE7*AE27)/(1000*(AE28-AE26)))</f>
        <v>4.2991161882414852</v>
      </c>
      <c r="AH31" s="25" t="s">
        <v>466</v>
      </c>
      <c r="AI31">
        <f>SQRT((AI25*AI25*AI29*AI7*AI27)/(1000*(AI28-AI26)))</f>
        <v>8.6357396903797419</v>
      </c>
      <c r="AL31" s="25" t="s">
        <v>466</v>
      </c>
      <c r="AM31">
        <f>SQRT((AM25*AM25*AM29*AM7*AM27)/(1000*(AM28-AM26)))</f>
        <v>8.4142735871850522</v>
      </c>
    </row>
    <row r="32" spans="2:40">
      <c r="B32" s="25" t="s">
        <v>467</v>
      </c>
      <c r="C32">
        <f>CEILING(C31,1)</f>
        <v>2</v>
      </c>
      <c r="F32" s="25" t="s">
        <v>467</v>
      </c>
      <c r="G32">
        <f>CEILING(G31,1)</f>
        <v>3</v>
      </c>
      <c r="J32" s="25" t="s">
        <v>467</v>
      </c>
      <c r="K32">
        <f>CEILING(K31,1)</f>
        <v>3</v>
      </c>
      <c r="N32" s="25" t="s">
        <v>467</v>
      </c>
      <c r="O32">
        <f>CEILING(O31,1)</f>
        <v>3</v>
      </c>
      <c r="R32" s="25" t="s">
        <v>467</v>
      </c>
      <c r="S32">
        <f>CEILING(S31,1)</f>
        <v>3</v>
      </c>
      <c r="V32" s="25" t="s">
        <v>467</v>
      </c>
      <c r="W32">
        <f>CEILING(W31,1)</f>
        <v>4</v>
      </c>
      <c r="Z32" s="25" t="s">
        <v>467</v>
      </c>
      <c r="AA32">
        <f>CEILING(AA31,1)</f>
        <v>5</v>
      </c>
      <c r="AD32" s="25" t="s">
        <v>467</v>
      </c>
      <c r="AE32">
        <f>CEILING(AE31,1)</f>
        <v>5</v>
      </c>
      <c r="AH32" s="25" t="s">
        <v>467</v>
      </c>
      <c r="AI32">
        <f>CEILING(AI31,1)</f>
        <v>9</v>
      </c>
      <c r="AL32" s="25" t="s">
        <v>467</v>
      </c>
      <c r="AM32">
        <f>CEILING(AM31,1)</f>
        <v>9</v>
      </c>
    </row>
    <row r="33" spans="2:40">
      <c r="B33" s="25" t="s">
        <v>468</v>
      </c>
      <c r="C33">
        <f>C25*C25*C29*C7/(1000*C32*C32)</f>
        <v>0.34559999999999996</v>
      </c>
      <c r="D33" s="25" t="s">
        <v>87</v>
      </c>
      <c r="F33" s="25" t="s">
        <v>468</v>
      </c>
      <c r="G33">
        <f>G25*G25*G29*G7/(1000*G32*G32)</f>
        <v>0.23875555555555553</v>
      </c>
      <c r="H33" s="25" t="s">
        <v>87</v>
      </c>
      <c r="J33" s="25" t="s">
        <v>468</v>
      </c>
      <c r="K33">
        <f>K25*K25*K29*K7/(1000*K32*K32)</f>
        <v>0.34626666666666667</v>
      </c>
      <c r="L33" s="25" t="s">
        <v>87</v>
      </c>
      <c r="N33" s="25" t="s">
        <v>468</v>
      </c>
      <c r="O33">
        <f>O25*O25*O29*O7/(1000*O32*O32)</f>
        <v>0.3982222222222222</v>
      </c>
      <c r="P33" s="25" t="s">
        <v>87</v>
      </c>
      <c r="R33" s="25" t="s">
        <v>468</v>
      </c>
      <c r="S33">
        <f>S25*S25*S29*S7/(1000*S32*S32)</f>
        <v>0.44373333333333337</v>
      </c>
      <c r="T33" s="25" t="s">
        <v>87</v>
      </c>
      <c r="V33" s="25" t="s">
        <v>468</v>
      </c>
      <c r="W33">
        <f>W25*W25*W29*W7/(1000*W32*W32)</f>
        <v>0.376</v>
      </c>
      <c r="X33" s="25" t="s">
        <v>87</v>
      </c>
      <c r="Z33" s="25" t="s">
        <v>468</v>
      </c>
      <c r="AA33">
        <f>AA25*AA25*AA29*AA7/(1000*AA32*AA32)</f>
        <v>0.37352000000000002</v>
      </c>
      <c r="AB33" s="25" t="s">
        <v>87</v>
      </c>
      <c r="AD33" s="25" t="s">
        <v>468</v>
      </c>
      <c r="AE33">
        <f>AE25*AE25*AE29*AE7/(1000*AE32*AE32)</f>
        <v>0.36964799999999998</v>
      </c>
      <c r="AF33" s="25" t="s">
        <v>87</v>
      </c>
      <c r="AH33" s="25" t="s">
        <v>468</v>
      </c>
      <c r="AI33">
        <f>AI25*AI25*AI29*AI7/(1000*AI32*AI32)</f>
        <v>0.46034567901234569</v>
      </c>
      <c r="AJ33" s="25" t="s">
        <v>87</v>
      </c>
      <c r="AL33" s="25" t="s">
        <v>468</v>
      </c>
      <c r="AM33">
        <f>AM25*AM25*AM29*AM7/(1000*AM32*AM32)</f>
        <v>0.43703703703703706</v>
      </c>
      <c r="AN33" s="25" t="s">
        <v>87</v>
      </c>
    </row>
    <row r="34" spans="2:40" ht="14">
      <c r="B34" s="25" t="s">
        <v>469</v>
      </c>
      <c r="C34">
        <f>C26+C33*C27</f>
        <v>95.367999999999995</v>
      </c>
      <c r="D34" s="25" t="s">
        <v>456</v>
      </c>
      <c r="F34" s="25" t="s">
        <v>469</v>
      </c>
      <c r="G34">
        <f>G26+G33*G27</f>
        <v>92.162666666666667</v>
      </c>
      <c r="H34" s="25" t="s">
        <v>456</v>
      </c>
      <c r="J34" s="25" t="s">
        <v>469</v>
      </c>
      <c r="K34">
        <f>K26+K33*K27</f>
        <v>95.388000000000005</v>
      </c>
      <c r="L34" s="25" t="s">
        <v>456</v>
      </c>
      <c r="N34" s="25" t="s">
        <v>469</v>
      </c>
      <c r="O34">
        <f>O26+O33*O27</f>
        <v>96.946666666666658</v>
      </c>
      <c r="P34" s="25" t="s">
        <v>456</v>
      </c>
      <c r="R34" s="25" t="s">
        <v>469</v>
      </c>
      <c r="S34">
        <f>S26+S33*S27</f>
        <v>98.311999999999998</v>
      </c>
      <c r="T34" s="25" t="s">
        <v>456</v>
      </c>
      <c r="V34" s="25" t="s">
        <v>469</v>
      </c>
      <c r="W34">
        <f>W26+W33*W27</f>
        <v>96.28</v>
      </c>
      <c r="X34" s="25" t="s">
        <v>456</v>
      </c>
      <c r="Z34" s="25" t="s">
        <v>469</v>
      </c>
      <c r="AA34">
        <f>AA26+AA33*AA27</f>
        <v>96.205600000000004</v>
      </c>
      <c r="AB34" s="25" t="s">
        <v>456</v>
      </c>
      <c r="AD34" s="25" t="s">
        <v>469</v>
      </c>
      <c r="AE34">
        <f>AE26+AE33*AE27</f>
        <v>96.089439999999996</v>
      </c>
      <c r="AF34" s="25" t="s">
        <v>456</v>
      </c>
      <c r="AH34" s="25" t="s">
        <v>469</v>
      </c>
      <c r="AI34">
        <f>AI26+AI33*AI27</f>
        <v>98.810370370370379</v>
      </c>
      <c r="AJ34" s="25" t="s">
        <v>456</v>
      </c>
      <c r="AL34" s="25" t="s">
        <v>469</v>
      </c>
      <c r="AM34">
        <f>AM26+AM33*AM27</f>
        <v>98.111111111111114</v>
      </c>
      <c r="AN34" s="25" t="s">
        <v>456</v>
      </c>
    </row>
    <row r="35" spans="2:40">
      <c r="B35" s="25" t="s">
        <v>470</v>
      </c>
      <c r="C35">
        <v>1.972</v>
      </c>
      <c r="F35" s="25" t="s">
        <v>470</v>
      </c>
      <c r="G35">
        <v>1.3129999999999999</v>
      </c>
      <c r="J35" s="25" t="s">
        <v>470</v>
      </c>
      <c r="K35">
        <v>0.89600000000000002</v>
      </c>
      <c r="N35" s="25" t="s">
        <v>470</v>
      </c>
      <c r="O35">
        <v>0.91400000000000003</v>
      </c>
      <c r="R35" s="25" t="s">
        <v>470</v>
      </c>
      <c r="S35">
        <v>0.61099999999999999</v>
      </c>
      <c r="V35" s="25" t="s">
        <v>470</v>
      </c>
      <c r="W35">
        <v>0.48</v>
      </c>
      <c r="Z35" s="25" t="s">
        <v>470</v>
      </c>
      <c r="AA35">
        <v>0.40100000000000002</v>
      </c>
      <c r="AD35" s="25" t="s">
        <v>470</v>
      </c>
      <c r="AE35">
        <v>0.33500000000000002</v>
      </c>
      <c r="AH35" s="25" t="s">
        <v>470</v>
      </c>
      <c r="AI35">
        <v>0.16200000000000001</v>
      </c>
      <c r="AL35" s="25" t="s">
        <v>470</v>
      </c>
      <c r="AM35">
        <v>0.16200000000000001</v>
      </c>
    </row>
    <row r="38" spans="2:40">
      <c r="B38" s="25" t="s">
        <v>471</v>
      </c>
      <c r="F38" s="25" t="s">
        <v>471</v>
      </c>
      <c r="J38" s="25" t="s">
        <v>471</v>
      </c>
      <c r="N38" s="25" t="s">
        <v>471</v>
      </c>
      <c r="R38" s="25" t="s">
        <v>471</v>
      </c>
      <c r="V38" s="25" t="s">
        <v>471</v>
      </c>
      <c r="Z38" s="25" t="s">
        <v>471</v>
      </c>
      <c r="AD38" s="25" t="s">
        <v>471</v>
      </c>
      <c r="AH38" s="25" t="s">
        <v>471</v>
      </c>
      <c r="AL38" s="25" t="s">
        <v>471</v>
      </c>
    </row>
    <row r="39" spans="2:40">
      <c r="B39" s="25">
        <v>0.01</v>
      </c>
      <c r="C39" s="168">
        <v>400</v>
      </c>
      <c r="D39" s="25" t="s">
        <v>25</v>
      </c>
      <c r="F39" s="25">
        <v>0.01</v>
      </c>
      <c r="G39" s="168">
        <v>400</v>
      </c>
      <c r="H39" s="25" t="s">
        <v>25</v>
      </c>
      <c r="J39" s="25">
        <v>0.01</v>
      </c>
      <c r="K39" s="168">
        <f>30220*VINMAX^-1.615</f>
        <v>205.24936892300542</v>
      </c>
      <c r="L39" s="25" t="s">
        <v>25</v>
      </c>
      <c r="N39" s="25">
        <v>0.01</v>
      </c>
      <c r="O39" s="168">
        <f>17178*VINMAX^-1</f>
        <v>780.81818181818187</v>
      </c>
      <c r="P39" s="25" t="s">
        <v>25</v>
      </c>
      <c r="R39" s="25">
        <v>0.01</v>
      </c>
      <c r="S39" s="168">
        <f>52855*VINMAX^-1.635</f>
        <v>337.46209164826172</v>
      </c>
      <c r="T39" s="25" t="s">
        <v>25</v>
      </c>
      <c r="V39" s="25">
        <v>0.01</v>
      </c>
      <c r="W39" s="168">
        <f>14788*VINMAX^-1.324</f>
        <v>246.91178122789276</v>
      </c>
      <c r="X39" s="25" t="s">
        <v>25</v>
      </c>
      <c r="Z39" s="25">
        <v>0.01</v>
      </c>
      <c r="AA39" s="168">
        <f>8327.2*VINMAX^-1</f>
        <v>378.50909090909096</v>
      </c>
      <c r="AB39" s="25" t="s">
        <v>25</v>
      </c>
      <c r="AD39" s="25">
        <v>0.01</v>
      </c>
      <c r="AE39" s="168">
        <f>11099*VINMAX^-1.441</f>
        <v>129.07816071073483</v>
      </c>
      <c r="AF39" s="25" t="s">
        <v>25</v>
      </c>
      <c r="AH39" s="25">
        <v>0.01</v>
      </c>
      <c r="AI39" s="3">
        <v>34.4</v>
      </c>
      <c r="AJ39" s="25" t="s">
        <v>25</v>
      </c>
      <c r="AL39" s="25">
        <v>0.01</v>
      </c>
      <c r="AM39" s="3">
        <v>37</v>
      </c>
      <c r="AN39" s="25" t="s">
        <v>25</v>
      </c>
    </row>
    <row r="40" spans="2:40">
      <c r="B40" s="25">
        <v>0.1</v>
      </c>
      <c r="C40" s="168">
        <f>81187*VINMAX^-1.57</f>
        <v>633.69880022227267</v>
      </c>
      <c r="D40" s="25" t="s">
        <v>25</v>
      </c>
      <c r="F40" s="25">
        <v>0.1</v>
      </c>
      <c r="G40" s="168">
        <f>21797*VINMAX^-1.499</f>
        <v>211.88739693790086</v>
      </c>
      <c r="H40" s="25" t="s">
        <v>25</v>
      </c>
      <c r="J40" s="25">
        <v>0.1</v>
      </c>
      <c r="K40" s="168">
        <f>7262.7*VINMAX^-1.615</f>
        <v>49.327087745768083</v>
      </c>
      <c r="L40" s="25" t="s">
        <v>25</v>
      </c>
      <c r="N40" s="25">
        <v>0.1</v>
      </c>
      <c r="O40" s="168">
        <f>89244.4*VINMAX^-1.866</f>
        <v>279.01031001814937</v>
      </c>
      <c r="P40" s="25" t="s">
        <v>25</v>
      </c>
      <c r="R40" s="25">
        <v>0.1</v>
      </c>
      <c r="S40" s="168">
        <f>10071*VINMAX^-1.635</f>
        <v>64.300079935477129</v>
      </c>
      <c r="T40" s="25" t="s">
        <v>25</v>
      </c>
      <c r="V40" s="25">
        <v>0.1</v>
      </c>
      <c r="W40" s="168">
        <f>2234.1*VINMAX^-1.324</f>
        <v>37.302245769626396</v>
      </c>
      <c r="X40" s="25" t="s">
        <v>25</v>
      </c>
      <c r="Z40" s="25">
        <v>0.1</v>
      </c>
      <c r="AA40" s="168">
        <f>6972.3*VINMAX^-1.544</f>
        <v>58.976018017254695</v>
      </c>
      <c r="AB40" s="25" t="s">
        <v>25</v>
      </c>
      <c r="AD40" s="25">
        <v>0.1</v>
      </c>
      <c r="AE40" s="168">
        <f>2301*VINMAX^-1.441</f>
        <v>26.759964663068825</v>
      </c>
      <c r="AF40" s="25" t="s">
        <v>25</v>
      </c>
      <c r="AH40" s="25">
        <v>0.1</v>
      </c>
      <c r="AI40" s="3">
        <f>6382.61*VINMAX^-1.811</f>
        <v>23.652161368746249</v>
      </c>
      <c r="AJ40" s="25" t="s">
        <v>25</v>
      </c>
      <c r="AL40" s="25">
        <v>0.1</v>
      </c>
      <c r="AM40" s="3">
        <f>7915.7*VINMAX^-1.854</f>
        <v>25.682522432170213</v>
      </c>
      <c r="AN40" s="25" t="s">
        <v>25</v>
      </c>
    </row>
    <row r="41" spans="2:40">
      <c r="B41" s="25">
        <v>1</v>
      </c>
      <c r="C41" s="168">
        <f>7406.1*VINMAX^-1.57</f>
        <v>57.807736267212405</v>
      </c>
      <c r="D41" s="25" t="s">
        <v>25</v>
      </c>
      <c r="F41" s="25">
        <v>1</v>
      </c>
      <c r="G41" s="168">
        <f>2910.8*VINMAX^-1.499</f>
        <v>28.295721200479051</v>
      </c>
      <c r="H41" s="25" t="s">
        <v>25</v>
      </c>
      <c r="J41" s="25">
        <v>1</v>
      </c>
      <c r="K41" s="168">
        <f>2213.6*VINMAX^-1.615</f>
        <v>15.034414396027955</v>
      </c>
      <c r="L41" s="25" t="s">
        <v>25</v>
      </c>
      <c r="N41" s="25">
        <v>1</v>
      </c>
      <c r="O41" s="168">
        <f>4961.45*VINMAX^-1.771</f>
        <v>20.805494922998058</v>
      </c>
      <c r="P41" s="25" t="s">
        <v>25</v>
      </c>
      <c r="R41" s="25">
        <v>1</v>
      </c>
      <c r="S41" s="168">
        <f>2529.8*VINMAX^-1.635</f>
        <v>16.151955339168904</v>
      </c>
      <c r="T41" s="25" t="s">
        <v>25</v>
      </c>
      <c r="V41" s="25">
        <v>1</v>
      </c>
      <c r="W41" s="168">
        <f>462.49*VINMAX^-1.324</f>
        <v>7.7220874831003599</v>
      </c>
      <c r="X41" s="25" t="s">
        <v>25</v>
      </c>
      <c r="Z41" s="25">
        <v>1</v>
      </c>
      <c r="AA41" s="168">
        <f>780.45*VINMAX^-1.544</f>
        <v>6.6015279407894711</v>
      </c>
      <c r="AB41" s="25" t="s">
        <v>25</v>
      </c>
      <c r="AD41" s="25">
        <v>1</v>
      </c>
      <c r="AE41" s="168">
        <f>620.07*VINMAX^-1.441</f>
        <v>7.2112348060100331</v>
      </c>
      <c r="AF41" s="25" t="s">
        <v>25</v>
      </c>
      <c r="AH41" s="25">
        <v>1</v>
      </c>
      <c r="AI41" s="3">
        <f>297.466*VINMAX^-1.587</f>
        <v>2.2029900676656688</v>
      </c>
      <c r="AJ41" s="25" t="s">
        <v>25</v>
      </c>
      <c r="AL41" s="25">
        <v>1</v>
      </c>
      <c r="AM41" s="3">
        <f>417.872*VINMAX^-1.615</f>
        <v>2.8381192683849812</v>
      </c>
      <c r="AN41" s="25" t="s">
        <v>25</v>
      </c>
    </row>
    <row r="42" spans="2:40">
      <c r="B42" s="25">
        <v>10</v>
      </c>
      <c r="C42" s="168">
        <f>2304.5*VINMAX^-1.57</f>
        <v>17.987595121290692</v>
      </c>
      <c r="D42" s="25" t="s">
        <v>25</v>
      </c>
      <c r="F42" s="25">
        <v>10</v>
      </c>
      <c r="G42" s="168">
        <f>868.34*VINMAX^-1.499</f>
        <v>8.4410837389116313</v>
      </c>
      <c r="H42" s="25" t="s">
        <v>25</v>
      </c>
      <c r="J42" s="25">
        <v>10</v>
      </c>
      <c r="K42" s="168">
        <f>822.43*VINMAX^-1.615</f>
        <v>5.5858119948162592</v>
      </c>
      <c r="L42" s="25" t="s">
        <v>25</v>
      </c>
      <c r="N42" s="25">
        <v>10</v>
      </c>
      <c r="O42" s="168">
        <f>700.975*VINMAX^-1.653</f>
        <v>4.2332882183596574</v>
      </c>
      <c r="P42" s="25" t="s">
        <v>25</v>
      </c>
      <c r="R42" s="25">
        <v>10</v>
      </c>
      <c r="S42" s="168">
        <f>800*VINMAX^-1.635</f>
        <v>5.1077414306803393</v>
      </c>
      <c r="T42" s="25" t="s">
        <v>25</v>
      </c>
      <c r="V42" s="25">
        <v>10</v>
      </c>
      <c r="W42" s="168">
        <f>124.48*VINMAX^-1.324</f>
        <v>2.078413478986211</v>
      </c>
      <c r="X42" s="25" t="s">
        <v>25</v>
      </c>
      <c r="Z42" s="25">
        <v>10</v>
      </c>
      <c r="AA42" s="168">
        <f>294.05*VINMAX^-1.544</f>
        <v>2.4872564430638016</v>
      </c>
      <c r="AB42" s="25" t="s">
        <v>25</v>
      </c>
      <c r="AD42" s="25">
        <v>10</v>
      </c>
      <c r="AE42" s="168">
        <f>207.91*VINMAX^-1.441</f>
        <v>2.4179331825722028</v>
      </c>
      <c r="AF42" s="25" t="s">
        <v>25</v>
      </c>
      <c r="AH42" s="25">
        <v>10</v>
      </c>
      <c r="AI42" s="3">
        <f>58.33815*VINMAX^-1.39</f>
        <v>0.7943010313596115</v>
      </c>
      <c r="AJ42" s="25" t="s">
        <v>25</v>
      </c>
      <c r="AL42" s="25">
        <v>10</v>
      </c>
      <c r="AM42" s="3">
        <f>100.1*VINMAX^-1.471</f>
        <v>1.0610364754719694</v>
      </c>
      <c r="AN42" s="25" t="s">
        <v>25</v>
      </c>
    </row>
    <row r="43" spans="2:40">
      <c r="B43" s="25">
        <v>100</v>
      </c>
      <c r="C43" s="168">
        <f>1175.8*VINMAX^-1.57</f>
        <v>9.1776152499950499</v>
      </c>
      <c r="D43" s="25" t="s">
        <v>25</v>
      </c>
      <c r="F43" s="25">
        <v>100</v>
      </c>
      <c r="G43" s="168">
        <f>509.52*VINMAX^-1.499</f>
        <v>4.9530149326879496</v>
      </c>
      <c r="H43" s="25" t="s">
        <v>25</v>
      </c>
      <c r="J43" s="25">
        <v>100</v>
      </c>
      <c r="K43" s="168">
        <f>266.13*VINMAX^-1.615</f>
        <v>1.8075120632521322</v>
      </c>
      <c r="L43" s="25" t="s">
        <v>25</v>
      </c>
      <c r="N43" s="25">
        <v>100</v>
      </c>
      <c r="O43" s="168">
        <f>284.092*VINMAX^-1.545</f>
        <v>2.395609145263554</v>
      </c>
      <c r="P43" s="25" t="s">
        <v>25</v>
      </c>
      <c r="R43" s="25">
        <v>100</v>
      </c>
      <c r="S43" s="168">
        <f>241.6*VINMAX^-1.635</f>
        <v>1.5425379120654625</v>
      </c>
      <c r="T43" s="25" t="s">
        <v>25</v>
      </c>
      <c r="V43" s="25">
        <v>100</v>
      </c>
      <c r="W43" s="168">
        <f>75.006*VINMAX^-1.324</f>
        <v>1.2523576591005765</v>
      </c>
      <c r="X43" s="25" t="s">
        <v>25</v>
      </c>
      <c r="Z43" s="25">
        <v>100</v>
      </c>
      <c r="AA43" s="168">
        <f>75.64*VINMAX^-1.312</f>
        <v>1.3106688048471986</v>
      </c>
      <c r="AB43" s="25" t="s">
        <v>25</v>
      </c>
      <c r="AD43" s="25">
        <v>100</v>
      </c>
      <c r="AE43" s="168">
        <f>103.96*VINMAX^-1.441</f>
        <v>1.2090247398403453</v>
      </c>
      <c r="AF43" s="25" t="s">
        <v>25</v>
      </c>
      <c r="AH43" s="25">
        <v>100</v>
      </c>
      <c r="AI43" s="3">
        <f>15.90615*VINMAX^-1.222</f>
        <v>0.36401942364399104</v>
      </c>
      <c r="AJ43" s="25" t="s">
        <v>25</v>
      </c>
      <c r="AL43" s="25">
        <v>100</v>
      </c>
      <c r="AM43" s="3">
        <f>20.2878*VINMAX^-1.191</f>
        <v>0.51098663598702276</v>
      </c>
      <c r="AN43" s="25" t="s">
        <v>25</v>
      </c>
    </row>
    <row r="45" spans="2:40">
      <c r="B45" s="25" t="s">
        <v>472</v>
      </c>
      <c r="C45">
        <f>IF('Design Calculator'!F30="Soft Start",'Design Calculator'!F31-0.00001,'Design Calculator'!F79)</f>
        <v>299.99999000000003</v>
      </c>
      <c r="D45" s="25" t="s">
        <v>8</v>
      </c>
      <c r="F45" s="25" t="s">
        <v>472</v>
      </c>
      <c r="G45">
        <f>IF('Design Calculator'!F30="Soft Start",'Design Calculator'!F31-0.00001,'Design Calculator'!F79)</f>
        <v>299.99999000000003</v>
      </c>
      <c r="H45" s="25" t="s">
        <v>8</v>
      </c>
      <c r="J45" s="25" t="s">
        <v>472</v>
      </c>
      <c r="K45">
        <f>IF('Design Calculator'!F30="Soft Start",'Design Calculator'!F31-0.00001,'Design Calculator'!F79)</f>
        <v>299.99999000000003</v>
      </c>
      <c r="L45" s="25" t="s">
        <v>8</v>
      </c>
      <c r="N45" s="25" t="s">
        <v>472</v>
      </c>
      <c r="O45">
        <f>IF('Design Calculator'!F30="Soft Start",'Design Calculator'!F31-0.00001,'Design Calculator'!F79)</f>
        <v>299.99999000000003</v>
      </c>
      <c r="P45" s="25" t="s">
        <v>8</v>
      </c>
      <c r="R45" s="25" t="s">
        <v>472</v>
      </c>
      <c r="S45">
        <f>IF('Design Calculator'!F30="Soft Start",'Design Calculator'!F31-0.00001,'Design Calculator'!F79)</f>
        <v>299.99999000000003</v>
      </c>
      <c r="T45" s="25" t="s">
        <v>8</v>
      </c>
      <c r="V45" s="25" t="s">
        <v>472</v>
      </c>
      <c r="W45">
        <f>IF('Design Calculator'!F30="Soft Start",'Design Calculator'!F31-0.00001,'Design Calculator'!F79)</f>
        <v>299.99999000000003</v>
      </c>
      <c r="X45" s="25" t="s">
        <v>8</v>
      </c>
      <c r="Z45" s="25" t="s">
        <v>472</v>
      </c>
      <c r="AA45">
        <f>IF('Design Calculator'!F30="Soft Start",'Design Calculator'!F31-0.00001,'Design Calculator'!F79)</f>
        <v>299.99999000000003</v>
      </c>
      <c r="AB45" s="25" t="s">
        <v>8</v>
      </c>
      <c r="AD45" s="25" t="s">
        <v>472</v>
      </c>
      <c r="AE45">
        <f>IF('Design Calculator'!F30="Soft Start",'Design Calculator'!F31-0.00001,'Design Calculator'!F79)</f>
        <v>299.99999000000003</v>
      </c>
      <c r="AF45" s="25" t="s">
        <v>8</v>
      </c>
      <c r="AH45" s="25" t="s">
        <v>472</v>
      </c>
      <c r="AI45">
        <f>IF('Design Calculator'!F30="Soft Start",'Design Calculator'!F31-0.00001,'Design Calculator'!F79)</f>
        <v>299.99999000000003</v>
      </c>
      <c r="AJ45" s="25" t="s">
        <v>8</v>
      </c>
      <c r="AL45" s="25" t="s">
        <v>472</v>
      </c>
      <c r="AM45">
        <f>IF('Design Calculator'!F30="Soft Start",'Design Calculator'!F31-0.00001,'Design Calculator'!F79)</f>
        <v>299.99999000000003</v>
      </c>
      <c r="AN45" s="25" t="s">
        <v>8</v>
      </c>
    </row>
    <row r="47" spans="2:40">
      <c r="B47" s="25" t="s">
        <v>170</v>
      </c>
      <c r="C47">
        <f>IF(C45&gt;B42,10,IF(C45&gt;B41,1,IF(C45&gt;B40,0.1,0.01)))</f>
        <v>10</v>
      </c>
      <c r="D47" s="25" t="s">
        <v>8</v>
      </c>
      <c r="F47" s="25" t="s">
        <v>170</v>
      </c>
      <c r="G47">
        <f>IF(G45&gt;F42,10,IF(G45&gt;F41,1,IF(G45&gt;F40,0.1,0.01)))</f>
        <v>10</v>
      </c>
      <c r="H47" s="25" t="s">
        <v>8</v>
      </c>
      <c r="J47" s="25" t="s">
        <v>170</v>
      </c>
      <c r="K47">
        <f>IF(K45&gt;J42,10,IF(K45&gt;J41,1,IF(K45&gt;J40,0.1,0.01)))</f>
        <v>10</v>
      </c>
      <c r="L47" s="25" t="s">
        <v>8</v>
      </c>
      <c r="N47" s="25" t="s">
        <v>170</v>
      </c>
      <c r="O47">
        <f>IF(O45&gt;N42,10,IF(O45&gt;N41,1,IF(O45&gt;N40,0.1,0.01)))</f>
        <v>10</v>
      </c>
      <c r="P47" s="25" t="s">
        <v>8</v>
      </c>
      <c r="R47" s="25" t="s">
        <v>170</v>
      </c>
      <c r="S47">
        <f>IF(S45&gt;R42,10,IF(S45&gt;R41,1,IF(S45&gt;R40,0.1,0.01)))</f>
        <v>10</v>
      </c>
      <c r="T47" s="25" t="s">
        <v>8</v>
      </c>
      <c r="V47" s="25" t="s">
        <v>170</v>
      </c>
      <c r="W47">
        <f>IF(W45&gt;V42,10,IF(W45&gt;V41,1,IF(W45&gt;V40,0.1,0.01)))</f>
        <v>10</v>
      </c>
      <c r="X47" s="25" t="s">
        <v>8</v>
      </c>
      <c r="Z47" s="25" t="s">
        <v>170</v>
      </c>
      <c r="AA47">
        <f>IF(AA45&gt;Z42,10,IF(AA45&gt;Z41,1,IF(AA45&gt;Z40,0.1,0.01)))</f>
        <v>10</v>
      </c>
      <c r="AB47" s="25" t="s">
        <v>8</v>
      </c>
      <c r="AD47" s="25" t="s">
        <v>170</v>
      </c>
      <c r="AE47">
        <f>IF(AE45&gt;AD42,10,IF(AE45&gt;AD41,1,IF(AE45&gt;AD40,0.1,0.01)))</f>
        <v>10</v>
      </c>
      <c r="AF47" s="25" t="s">
        <v>8</v>
      </c>
      <c r="AH47" s="25" t="s">
        <v>170</v>
      </c>
      <c r="AI47">
        <f>IF(AI45&gt;AH42,10,IF(AI45&gt;AH41,1,IF(AI45&gt;AH40,0.1,0.01)))</f>
        <v>10</v>
      </c>
      <c r="AJ47" s="25" t="s">
        <v>8</v>
      </c>
      <c r="AL47" s="25" t="s">
        <v>170</v>
      </c>
      <c r="AM47">
        <f>IF(AM45&gt;AL42,10,IF(AM45&gt;AL41,1,IF(AM45&gt;AL40,0.1,0.01)))</f>
        <v>10</v>
      </c>
      <c r="AN47" s="25" t="s">
        <v>8</v>
      </c>
    </row>
    <row r="48" spans="2:40">
      <c r="B48" s="25" t="s">
        <v>473</v>
      </c>
      <c r="C48">
        <f>LOOKUP(C47,B39:B43,C39:C43)</f>
        <v>17.987595121290692</v>
      </c>
      <c r="D48" s="25" t="s">
        <v>25</v>
      </c>
      <c r="F48" s="25" t="s">
        <v>473</v>
      </c>
      <c r="G48">
        <f>LOOKUP(G47,F39:F43,G39:G43)</f>
        <v>8.4410837389116313</v>
      </c>
      <c r="H48" s="25" t="s">
        <v>25</v>
      </c>
      <c r="J48" s="25" t="s">
        <v>473</v>
      </c>
      <c r="K48">
        <f>LOOKUP(K47,J39:J43,K39:K43)</f>
        <v>5.5858119948162592</v>
      </c>
      <c r="L48" s="25" t="s">
        <v>25</v>
      </c>
      <c r="N48" s="25" t="s">
        <v>473</v>
      </c>
      <c r="O48">
        <f>LOOKUP(O47,N39:N43,O39:O43)</f>
        <v>4.2332882183596574</v>
      </c>
      <c r="P48" s="25" t="s">
        <v>25</v>
      </c>
      <c r="R48" s="25" t="s">
        <v>473</v>
      </c>
      <c r="S48">
        <f>LOOKUP(S47,R39:R43,S39:S43)</f>
        <v>5.1077414306803393</v>
      </c>
      <c r="T48" s="25" t="s">
        <v>25</v>
      </c>
      <c r="V48" s="25" t="s">
        <v>473</v>
      </c>
      <c r="W48">
        <f>LOOKUP(W47,V39:V43,W39:W43)</f>
        <v>2.078413478986211</v>
      </c>
      <c r="X48" s="25" t="s">
        <v>25</v>
      </c>
      <c r="Z48" s="25" t="s">
        <v>473</v>
      </c>
      <c r="AA48">
        <f>LOOKUP(AA47,Z39:Z43,AA39:AA43)</f>
        <v>2.4872564430638016</v>
      </c>
      <c r="AB48" s="25" t="s">
        <v>25</v>
      </c>
      <c r="AD48" s="25" t="s">
        <v>473</v>
      </c>
      <c r="AE48">
        <f>LOOKUP(AE47,AD39:AD43,AE39:AE43)</f>
        <v>2.4179331825722028</v>
      </c>
      <c r="AF48" s="25" t="s">
        <v>25</v>
      </c>
      <c r="AH48" s="25" t="s">
        <v>473</v>
      </c>
      <c r="AI48">
        <f>LOOKUP(AI47,AH39:AH43,AI39:AI43)</f>
        <v>0.7943010313596115</v>
      </c>
      <c r="AJ48" s="25" t="s">
        <v>25</v>
      </c>
      <c r="AL48" s="25" t="s">
        <v>473</v>
      </c>
      <c r="AM48">
        <f>LOOKUP(AM47,AL39:AL43,AM39:AM43)</f>
        <v>1.0610364754719694</v>
      </c>
      <c r="AN48" s="25" t="s">
        <v>25</v>
      </c>
    </row>
    <row r="49" spans="2:40">
      <c r="B49" s="25" t="s">
        <v>474</v>
      </c>
      <c r="C49">
        <f>IF(C45&lt;B39,0.01,IF(C45&lt;B40,0.1,IF(C45&lt;B41,1,IF(C45&lt;B42,10,100))))</f>
        <v>100</v>
      </c>
      <c r="D49" s="25" t="s">
        <v>8</v>
      </c>
      <c r="F49" s="25" t="s">
        <v>474</v>
      </c>
      <c r="G49">
        <f>IF(G45&lt;F39,0.01,IF(G45&lt;F40,0.1,IF(G45&lt;F41,1,IF(G45&lt;F42,10,100))))</f>
        <v>100</v>
      </c>
      <c r="H49" s="25" t="s">
        <v>8</v>
      </c>
      <c r="J49" s="25" t="s">
        <v>474</v>
      </c>
      <c r="K49">
        <f>IF(K45&lt;J39,0.01,IF(K45&lt;J40,0.1,IF(K45&lt;J41,1,IF(K45&lt;J42,10,100))))</f>
        <v>100</v>
      </c>
      <c r="L49" s="25" t="s">
        <v>8</v>
      </c>
      <c r="N49" s="25" t="s">
        <v>474</v>
      </c>
      <c r="O49">
        <f>IF(O45&lt;N39,0.01,IF(O45&lt;N40,0.1,IF(O45&lt;N41,1,IF(O45&lt;N42,10,100))))</f>
        <v>100</v>
      </c>
      <c r="P49" s="25" t="s">
        <v>8</v>
      </c>
      <c r="R49" s="25" t="s">
        <v>474</v>
      </c>
      <c r="S49">
        <f>IF(S45&lt;R39,0.01,IF(S45&lt;R40,0.1,IF(S45&lt;R41,1,IF(S45&lt;R42,10,100))))</f>
        <v>100</v>
      </c>
      <c r="T49" s="25" t="s">
        <v>8</v>
      </c>
      <c r="V49" s="25" t="s">
        <v>474</v>
      </c>
      <c r="W49">
        <f>IF(W45&lt;V39,0.01,IF(W45&lt;V40,0.1,IF(W45&lt;V41,1,IF(W45&lt;V42,10,100))))</f>
        <v>100</v>
      </c>
      <c r="X49" s="25" t="s">
        <v>8</v>
      </c>
      <c r="Z49" s="25" t="s">
        <v>474</v>
      </c>
      <c r="AA49">
        <f>IF(AA45&lt;Z39,0.01,IF(AA45&lt;Z40,0.1,IF(AA45&lt;Z41,1,IF(AA45&lt;Z42,10,100))))</f>
        <v>100</v>
      </c>
      <c r="AB49" s="25" t="s">
        <v>8</v>
      </c>
      <c r="AD49" s="25" t="s">
        <v>474</v>
      </c>
      <c r="AE49">
        <f>IF(AE45&lt;AD39,0.01,IF(AE45&lt;AD40,0.1,IF(AE45&lt;AD41,1,IF(AE45&lt;AD42,10,100))))</f>
        <v>100</v>
      </c>
      <c r="AF49" s="25" t="s">
        <v>8</v>
      </c>
      <c r="AH49" s="25" t="s">
        <v>474</v>
      </c>
      <c r="AI49">
        <f>IF(AI45&lt;AH39,0.01,IF(AI45&lt;AH40,0.1,IF(AI45&lt;AH41,1,IF(AI45&lt;AH42,10,100))))</f>
        <v>100</v>
      </c>
      <c r="AJ49" s="25" t="s">
        <v>8</v>
      </c>
      <c r="AL49" s="25" t="s">
        <v>474</v>
      </c>
      <c r="AM49">
        <f>IF(AM45&lt;AL39,0.01,IF(AM45&lt;AL40,0.1,IF(AM45&lt;AL41,1,IF(AM45&lt;AL42,10,100))))</f>
        <v>100</v>
      </c>
      <c r="AN49" s="25" t="s">
        <v>8</v>
      </c>
    </row>
    <row r="50" spans="2:40">
      <c r="B50" s="25" t="s">
        <v>475</v>
      </c>
      <c r="C50">
        <f>LOOKUP(C49,B39:B43,C39:C43)</f>
        <v>9.1776152499950499</v>
      </c>
      <c r="D50" s="25" t="s">
        <v>25</v>
      </c>
      <c r="F50" s="25" t="s">
        <v>475</v>
      </c>
      <c r="G50">
        <f>LOOKUP(G49,F39:F43,G39:G43)</f>
        <v>4.9530149326879496</v>
      </c>
      <c r="H50" s="25" t="s">
        <v>25</v>
      </c>
      <c r="J50" s="25" t="s">
        <v>475</v>
      </c>
      <c r="K50">
        <f>LOOKUP(K49,J39:J43,K39:K43)</f>
        <v>1.8075120632521322</v>
      </c>
      <c r="L50" s="25" t="s">
        <v>25</v>
      </c>
      <c r="N50" s="25" t="s">
        <v>475</v>
      </c>
      <c r="O50">
        <f>LOOKUP(O49,N39:N43,O39:O43)</f>
        <v>2.395609145263554</v>
      </c>
      <c r="P50" s="25" t="s">
        <v>25</v>
      </c>
      <c r="R50" s="25" t="s">
        <v>475</v>
      </c>
      <c r="S50">
        <f>LOOKUP(S49,R39:R43,S39:S43)</f>
        <v>1.5425379120654625</v>
      </c>
      <c r="T50" s="25" t="s">
        <v>25</v>
      </c>
      <c r="V50" s="25" t="s">
        <v>475</v>
      </c>
      <c r="W50">
        <f>LOOKUP(W49,V39:V43,W39:W43)</f>
        <v>1.2523576591005765</v>
      </c>
      <c r="X50" s="25" t="s">
        <v>25</v>
      </c>
      <c r="Z50" s="25" t="s">
        <v>475</v>
      </c>
      <c r="AA50">
        <f>LOOKUP(AA49,Z39:Z43,AA39:AA43)</f>
        <v>1.3106688048471986</v>
      </c>
      <c r="AB50" s="25" t="s">
        <v>25</v>
      </c>
      <c r="AD50" s="25" t="s">
        <v>475</v>
      </c>
      <c r="AE50">
        <f>LOOKUP(AE49,AD39:AD43,AE39:AE43)</f>
        <v>1.2090247398403453</v>
      </c>
      <c r="AF50" s="25" t="s">
        <v>25</v>
      </c>
      <c r="AH50" s="25" t="s">
        <v>475</v>
      </c>
      <c r="AI50">
        <f>LOOKUP(AI49,AH39:AH43,AI39:AI43)</f>
        <v>0.36401942364399104</v>
      </c>
      <c r="AJ50" s="25" t="s">
        <v>25</v>
      </c>
      <c r="AL50" s="25" t="s">
        <v>475</v>
      </c>
      <c r="AM50">
        <f>LOOKUP(AM49,AL39:AL43,AM39:AM43)</f>
        <v>0.51098663598702276</v>
      </c>
      <c r="AN50" s="25" t="s">
        <v>25</v>
      </c>
    </row>
    <row r="52" spans="2:40">
      <c r="B52" s="25" t="s">
        <v>174</v>
      </c>
      <c r="C52">
        <f>C48/C47^C53</f>
        <v>35.254646161774467</v>
      </c>
      <c r="F52" s="25" t="s">
        <v>174</v>
      </c>
      <c r="G52">
        <f>G48/G47^G53</f>
        <v>14.385560240709935</v>
      </c>
      <c r="J52" s="25" t="s">
        <v>174</v>
      </c>
      <c r="K52">
        <f>K48/K47^K53</f>
        <v>17.262012395809329</v>
      </c>
      <c r="N52" s="25" t="s">
        <v>174</v>
      </c>
      <c r="O52">
        <f>O48/O47^O53</f>
        <v>7.4806565065651096</v>
      </c>
      <c r="R52" s="25" t="s">
        <v>174</v>
      </c>
      <c r="S52">
        <f>S48/S47^S53</f>
        <v>16.913051094968015</v>
      </c>
      <c r="V52" s="25" t="s">
        <v>174</v>
      </c>
      <c r="W52">
        <f>W48/W47^W53</f>
        <v>3.4493361846279433</v>
      </c>
      <c r="Z52" s="25" t="s">
        <v>174</v>
      </c>
      <c r="AA52">
        <f>AA48/AA47^AA53</f>
        <v>4.7200670304224008</v>
      </c>
      <c r="AD52" s="25" t="s">
        <v>174</v>
      </c>
      <c r="AE52">
        <f>AE48/AE47^AE53</f>
        <v>4.8356337821141464</v>
      </c>
      <c r="AH52" s="25" t="s">
        <v>174</v>
      </c>
      <c r="AI52">
        <f>AI48/AI47^AI53</f>
        <v>1.7331880867872946</v>
      </c>
      <c r="AL52" s="25" t="s">
        <v>174</v>
      </c>
      <c r="AM52">
        <f>AM48/AM47^AM53</f>
        <v>2.2031856079902856</v>
      </c>
    </row>
    <row r="53" spans="2:40">
      <c r="B53" s="25" t="s">
        <v>175</v>
      </c>
      <c r="C53">
        <f>IF(C49=C47,0.00000000000001,LOG(C48/C50)/LOG(C47/C49))</f>
        <v>-0.2922432566074763</v>
      </c>
      <c r="F53" s="25" t="s">
        <v>175</v>
      </c>
      <c r="G53">
        <f>IF(G49=G47,0.00000000000001,LOG(G48/G50)/LOG(G47/G49))</f>
        <v>-0.23152857134011678</v>
      </c>
      <c r="J53" s="25" t="s">
        <v>175</v>
      </c>
      <c r="K53">
        <f>IF(K49=K47,0.00000000000001,LOG(K48/K50)/LOG(K47/K49))</f>
        <v>-0.4900051098511593</v>
      </c>
      <c r="N53" s="25" t="s">
        <v>175</v>
      </c>
      <c r="O53">
        <f>IF(O49=O47,0.00000000000001,LOG(O48/O50)/LOG(O47/O49))</f>
        <v>-0.24726187556125401</v>
      </c>
      <c r="R53" s="25" t="s">
        <v>175</v>
      </c>
      <c r="S53">
        <f>IF(S49=S47,0.00000000000001,LOG(S48/S50)/LOG(S47/S49))</f>
        <v>-0.51999305704284937</v>
      </c>
      <c r="V53" s="25" t="s">
        <v>175</v>
      </c>
      <c r="W53">
        <f>IF(W49=W47,0.00000000000001,LOG(W48/W50)/LOG(W47/W49))</f>
        <v>-0.22000357408502957</v>
      </c>
      <c r="Z53" s="25" t="s">
        <v>175</v>
      </c>
      <c r="AA53">
        <f>IF(AA49=AA47,0.00000000000001,LOG(AA48/AA50)/LOG(AA47/AA49))</f>
        <v>-0.27822760161430243</v>
      </c>
      <c r="AD53" s="25" t="s">
        <v>175</v>
      </c>
      <c r="AE53">
        <f>IF(AE49=AE47,0.00000000000001,LOG(AE48/AE50)/LOG(AE47/AE49))</f>
        <v>-0.30100910758558441</v>
      </c>
      <c r="AH53" s="25" t="s">
        <v>175</v>
      </c>
      <c r="AI53">
        <f>IF(AI49=AI47,0.00000000000001,LOG(AI48/AI50)/LOG(AI47/AI49))</f>
        <v>-0.33886056875417486</v>
      </c>
      <c r="AL53" s="25" t="s">
        <v>175</v>
      </c>
      <c r="AM53">
        <f>IF(AM49=AM47,0.00000000000001,LOG(AM48/AM50)/LOG(AM47/AM49))</f>
        <v>-0.31732077196274783</v>
      </c>
    </row>
    <row r="55" spans="2:40">
      <c r="B55" s="25" t="s">
        <v>476</v>
      </c>
      <c r="C55">
        <f>C52*C45^C53</f>
        <v>6.6572425743763759</v>
      </c>
      <c r="D55" s="25" t="s">
        <v>25</v>
      </c>
      <c r="F55" s="25" t="s">
        <v>476</v>
      </c>
      <c r="G55">
        <f>G52*G45^G53</f>
        <v>3.8406297192566177</v>
      </c>
      <c r="H55" s="25" t="s">
        <v>25</v>
      </c>
      <c r="J55" s="25" t="s">
        <v>476</v>
      </c>
      <c r="K55">
        <f>K52*K45^K53</f>
        <v>1.0550896400259344</v>
      </c>
      <c r="L55" s="25" t="s">
        <v>25</v>
      </c>
      <c r="N55" s="25" t="s">
        <v>476</v>
      </c>
      <c r="O55">
        <f>O52*O45^O53</f>
        <v>1.8257531962327238</v>
      </c>
      <c r="P55" s="25" t="s">
        <v>25</v>
      </c>
      <c r="R55" s="25" t="s">
        <v>476</v>
      </c>
      <c r="S55">
        <f>S52*S45^S53</f>
        <v>0.87123660600289332</v>
      </c>
      <c r="T55" s="25" t="s">
        <v>25</v>
      </c>
      <c r="V55" s="25" t="s">
        <v>476</v>
      </c>
      <c r="W55">
        <f>W52*W45^W53</f>
        <v>0.98346746688507858</v>
      </c>
      <c r="X55" s="25" t="s">
        <v>25</v>
      </c>
      <c r="Z55" s="25" t="s">
        <v>476</v>
      </c>
      <c r="AA55">
        <f>AA52*AA45^AA53</f>
        <v>0.96548307415308354</v>
      </c>
      <c r="AB55" s="25" t="s">
        <v>25</v>
      </c>
      <c r="AD55" s="25" t="s">
        <v>476</v>
      </c>
      <c r="AE55">
        <f>AE52*AE45^AE53</f>
        <v>0.86859504795567399</v>
      </c>
      <c r="AF55" s="25" t="s">
        <v>25</v>
      </c>
      <c r="AH55" s="25" t="s">
        <v>476</v>
      </c>
      <c r="AI55">
        <f>AI52*AI45^AI53</f>
        <v>0.25086899088136272</v>
      </c>
      <c r="AJ55" s="25" t="s">
        <v>25</v>
      </c>
      <c r="AL55" s="25" t="s">
        <v>476</v>
      </c>
      <c r="AM55">
        <f>AM52*AM45^AM53</f>
        <v>0.36058616673870336</v>
      </c>
      <c r="AN55" s="25" t="s">
        <v>25</v>
      </c>
    </row>
    <row r="56" spans="2:40">
      <c r="B56" s="25" t="s">
        <v>477</v>
      </c>
      <c r="C56">
        <f>C55*VINMAX</f>
        <v>146.45933663628028</v>
      </c>
      <c r="D56" s="25" t="s">
        <v>87</v>
      </c>
      <c r="F56" s="25" t="s">
        <v>477</v>
      </c>
      <c r="G56">
        <f>G55*VINMAX</f>
        <v>84.493853823645594</v>
      </c>
      <c r="H56" s="25" t="s">
        <v>87</v>
      </c>
      <c r="J56" s="25" t="s">
        <v>477</v>
      </c>
      <c r="K56">
        <f>K55*VINMAX</f>
        <v>23.211972080570558</v>
      </c>
      <c r="L56" s="25" t="s">
        <v>87</v>
      </c>
      <c r="N56" s="25" t="s">
        <v>477</v>
      </c>
      <c r="O56">
        <f>O55*VINMAX</f>
        <v>40.166570317119927</v>
      </c>
      <c r="P56" s="25" t="s">
        <v>87</v>
      </c>
      <c r="R56" s="25" t="s">
        <v>477</v>
      </c>
      <c r="S56">
        <f>S55*VINMAX</f>
        <v>19.167205332063652</v>
      </c>
      <c r="T56" s="25" t="s">
        <v>87</v>
      </c>
      <c r="V56" s="25" t="s">
        <v>477</v>
      </c>
      <c r="W56">
        <f>W55*VINMAX</f>
        <v>21.63628427147173</v>
      </c>
      <c r="X56" s="25" t="s">
        <v>87</v>
      </c>
      <c r="Z56" s="25" t="s">
        <v>477</v>
      </c>
      <c r="AA56">
        <f>AA55*VINMAX</f>
        <v>21.240627631367836</v>
      </c>
      <c r="AB56" s="25" t="s">
        <v>87</v>
      </c>
      <c r="AD56" s="25" t="s">
        <v>477</v>
      </c>
      <c r="AE56">
        <f>AE55*VINMAX</f>
        <v>19.109091055024827</v>
      </c>
      <c r="AF56" s="25" t="s">
        <v>87</v>
      </c>
      <c r="AH56" s="25" t="s">
        <v>477</v>
      </c>
      <c r="AI56">
        <f>AI55*VINMAX</f>
        <v>5.5191177993899796</v>
      </c>
      <c r="AJ56" s="25" t="s">
        <v>87</v>
      </c>
      <c r="AL56" s="25" t="s">
        <v>477</v>
      </c>
      <c r="AM56">
        <f>AM55*VINMAX</f>
        <v>7.932895668251474</v>
      </c>
      <c r="AN56" s="25" t="s">
        <v>87</v>
      </c>
    </row>
    <row r="58" spans="2:40">
      <c r="B58" s="25" t="s">
        <v>478</v>
      </c>
      <c r="C58">
        <f>(C6-C34)/(C6-25)</f>
        <v>0.53088000000000002</v>
      </c>
      <c r="F58" s="25" t="s">
        <v>478</v>
      </c>
      <c r="G58">
        <f>(G6-G34)/(G6-25)</f>
        <v>0.5522488888888889</v>
      </c>
      <c r="J58" s="25" t="s">
        <v>478</v>
      </c>
      <c r="K58">
        <f>(K6-K34)/(K6-25)</f>
        <v>0.43689599999999995</v>
      </c>
      <c r="N58" s="25" t="s">
        <v>478</v>
      </c>
      <c r="O58">
        <f>(O6-O34)/(O6-25)</f>
        <v>0.52035555555555557</v>
      </c>
      <c r="R58" s="25" t="s">
        <v>478</v>
      </c>
      <c r="S58">
        <f>(S6-S34)/(S6-25)</f>
        <v>0.41350400000000004</v>
      </c>
      <c r="V58" s="25" t="s">
        <v>478</v>
      </c>
      <c r="W58">
        <f>(W6-W34)/(W6-25)</f>
        <v>0.42975999999999998</v>
      </c>
      <c r="Z58" s="25" t="s">
        <v>478</v>
      </c>
      <c r="AA58">
        <f>(AA6-AA34)/(AA6-25)</f>
        <v>0.43035519999999999</v>
      </c>
      <c r="AD58" s="25" t="s">
        <v>478</v>
      </c>
      <c r="AE58">
        <f>(AE6-AE34)/(AE6-25)</f>
        <v>0.43128448000000003</v>
      </c>
      <c r="AH58" s="25" t="s">
        <v>478</v>
      </c>
      <c r="AI58">
        <f>(AI6-AI34)/(AI6-25)</f>
        <v>0.40951703703703696</v>
      </c>
      <c r="AL58" s="25" t="s">
        <v>478</v>
      </c>
      <c r="AM58">
        <f>(AM6-AM34)/(AM6-25)</f>
        <v>0.4151111111111111</v>
      </c>
    </row>
    <row r="59" spans="2:40">
      <c r="B59" s="25" t="s">
        <v>479</v>
      </c>
      <c r="C59">
        <f>C58*C56</f>
        <v>77.752332633468484</v>
      </c>
      <c r="D59" s="25" t="s">
        <v>87</v>
      </c>
      <c r="F59" s="25" t="s">
        <v>479</v>
      </c>
      <c r="G59">
        <f>G58*G56</f>
        <v>46.661636892048477</v>
      </c>
      <c r="H59" s="25" t="s">
        <v>87</v>
      </c>
      <c r="J59" s="25" t="s">
        <v>479</v>
      </c>
      <c r="K59">
        <f>K58*K56</f>
        <v>10.141217754112953</v>
      </c>
      <c r="L59" s="25" t="s">
        <v>87</v>
      </c>
      <c r="N59" s="25" t="s">
        <v>479</v>
      </c>
      <c r="O59">
        <f>O58*O56</f>
        <v>20.900898012126227</v>
      </c>
      <c r="P59" s="25" t="s">
        <v>87</v>
      </c>
      <c r="R59" s="25" t="s">
        <v>479</v>
      </c>
      <c r="S59">
        <f>S58*S56</f>
        <v>7.9257160736296495</v>
      </c>
      <c r="T59" s="25" t="s">
        <v>87</v>
      </c>
      <c r="V59" s="25" t="s">
        <v>479</v>
      </c>
      <c r="W59">
        <f>W58*W56</f>
        <v>9.2984095285076904</v>
      </c>
      <c r="X59" s="25" t="s">
        <v>87</v>
      </c>
      <c r="Z59" s="25" t="s">
        <v>479</v>
      </c>
      <c r="AA59">
        <f>AA58*AA56</f>
        <v>9.1410145524228312</v>
      </c>
      <c r="AB59" s="25" t="s">
        <v>87</v>
      </c>
      <c r="AD59" s="25" t="s">
        <v>479</v>
      </c>
      <c r="AE59">
        <f>AE58*AE56</f>
        <v>8.2414543989390339</v>
      </c>
      <c r="AF59" s="25" t="s">
        <v>87</v>
      </c>
      <c r="AH59" s="25" t="s">
        <v>479</v>
      </c>
      <c r="AI59">
        <f>AI58*AI56</f>
        <v>2.2601727682645563</v>
      </c>
      <c r="AJ59" s="25" t="s">
        <v>87</v>
      </c>
      <c r="AL59" s="25" t="s">
        <v>479</v>
      </c>
      <c r="AM59">
        <f>AM58*AM56</f>
        <v>3.2930331351763895</v>
      </c>
      <c r="AN59" s="25" t="s">
        <v>87</v>
      </c>
    </row>
    <row r="61" spans="2:40">
      <c r="B61" s="25" t="s">
        <v>480</v>
      </c>
      <c r="C61">
        <f>C59/'Design Calculator'!F52</f>
        <v>1.0712284608041136</v>
      </c>
      <c r="F61" s="25" t="s">
        <v>480</v>
      </c>
      <c r="G61">
        <f>G59/'Design Calculator'!F52</f>
        <v>0.64287812048166615</v>
      </c>
      <c r="J61" s="25" t="s">
        <v>480</v>
      </c>
      <c r="K61">
        <f>K59/'Design Calculator'!F52</f>
        <v>0.1397200664915042</v>
      </c>
      <c r="N61" s="25" t="s">
        <v>480</v>
      </c>
      <c r="O61">
        <f>O59/'Design Calculator'!F52</f>
        <v>0.28796096591083004</v>
      </c>
      <c r="R61" s="25" t="s">
        <v>480</v>
      </c>
      <c r="S61">
        <f>S59/'Design Calculator'!F52</f>
        <v>0.10919611467283598</v>
      </c>
      <c r="V61" s="25" t="s">
        <v>480</v>
      </c>
      <c r="W61">
        <f>W59/'Design Calculator'!F52</f>
        <v>0.12810832279599038</v>
      </c>
      <c r="Z61" s="25" t="s">
        <v>480</v>
      </c>
      <c r="AA61">
        <f>AA59/'Design Calculator'!F52</f>
        <v>0.12593982222167951</v>
      </c>
      <c r="AD61" s="25" t="s">
        <v>480</v>
      </c>
      <c r="AE61">
        <f>AE59/'Design Calculator'!F52</f>
        <v>0.11354618197991571</v>
      </c>
      <c r="AH61" s="25" t="s">
        <v>480</v>
      </c>
      <c r="AI61">
        <f>AI59/'Design Calculator'!F52</f>
        <v>3.1139405258913407E-2</v>
      </c>
      <c r="AL61" s="25" t="s">
        <v>480</v>
      </c>
      <c r="AM61">
        <f>AM59/'Design Calculator'!F52</f>
        <v>4.5369581815652142E-2</v>
      </c>
    </row>
    <row r="63" spans="2:40">
      <c r="B63" s="25" t="s">
        <v>481</v>
      </c>
      <c r="C63">
        <f>IF(C61&gt;1.3,1,0)</f>
        <v>0</v>
      </c>
      <c r="F63" s="25" t="s">
        <v>481</v>
      </c>
      <c r="G63">
        <f>IF(G61&gt;1.3,1,0)</f>
        <v>0</v>
      </c>
      <c r="J63" s="25" t="s">
        <v>481</v>
      </c>
      <c r="K63">
        <f>IF(K61&gt;1.3,1,0)</f>
        <v>0</v>
      </c>
      <c r="N63" s="25" t="s">
        <v>481</v>
      </c>
      <c r="O63">
        <f>IF(O61&gt;1.3,1,0)</f>
        <v>0</v>
      </c>
      <c r="R63" s="25" t="s">
        <v>481</v>
      </c>
      <c r="S63">
        <f>IF(S61&gt;1.3,1,0)</f>
        <v>0</v>
      </c>
      <c r="V63" s="25" t="s">
        <v>481</v>
      </c>
      <c r="W63">
        <f>IF(W61&gt;1.3,1,0)</f>
        <v>0</v>
      </c>
      <c r="Z63" s="25" t="s">
        <v>481</v>
      </c>
      <c r="AA63">
        <f>IF(AA61&gt;1.3,1,0)</f>
        <v>0</v>
      </c>
      <c r="AD63" s="25" t="s">
        <v>481</v>
      </c>
      <c r="AE63">
        <f>IF(AE61&gt;1.3,1,0)</f>
        <v>0</v>
      </c>
      <c r="AH63" s="25" t="s">
        <v>481</v>
      </c>
      <c r="AI63">
        <f>IF(AI61&gt;1.3,1,0)</f>
        <v>0</v>
      </c>
      <c r="AL63" s="25" t="s">
        <v>481</v>
      </c>
      <c r="AM63">
        <f>IF(AM61&gt;1.3,1,0)</f>
        <v>0</v>
      </c>
    </row>
    <row r="64" spans="2:40">
      <c r="C64">
        <f>COLUMN()</f>
        <v>3</v>
      </c>
      <c r="G64">
        <f>COLUMN()</f>
        <v>7</v>
      </c>
      <c r="K64">
        <f>COLUMN()</f>
        <v>11</v>
      </c>
      <c r="O64">
        <f>COLUMN()</f>
        <v>15</v>
      </c>
      <c r="S64">
        <f>COLUMN()</f>
        <v>19</v>
      </c>
      <c r="W64">
        <f>COLUMN()</f>
        <v>23</v>
      </c>
      <c r="AA64">
        <f>COLUMN()</f>
        <v>27</v>
      </c>
      <c r="AE64">
        <f>COLUMN()</f>
        <v>31</v>
      </c>
      <c r="AI64">
        <f>COLUMN()</f>
        <v>35</v>
      </c>
      <c r="AM64">
        <f>COLUMN()</f>
        <v>39</v>
      </c>
    </row>
    <row r="67" spans="2:8">
      <c r="B67" s="25" t="s">
        <v>521</v>
      </c>
      <c r="C67" t="str">
        <f>LEFT('Design Calculator'!F54,FIND(" ",'Design Calculator'!F54)-1)</f>
        <v>CSD18535KTT</v>
      </c>
      <c r="F67" s="25" t="s">
        <v>527</v>
      </c>
      <c r="G67" t="str">
        <f>LEFT('Design Calculator'!G54,FIND(" ",'Design Calculator'!G54)-1)</f>
        <v>CSD18540Q5B</v>
      </c>
    </row>
    <row r="68" spans="2:8">
      <c r="B68" s="25" t="s">
        <v>522</v>
      </c>
      <c r="C68" t="e">
        <f>MATCH(SFET48_1,B4:AM4,0)+2</f>
        <v>#N/A</v>
      </c>
      <c r="F68" s="25" t="s">
        <v>522</v>
      </c>
      <c r="G68" t="e">
        <f>MATCH(SFET48_2,B4:AM4,0)+2</f>
        <v>#N/A</v>
      </c>
    </row>
    <row r="70" spans="2:8">
      <c r="B70">
        <v>0.01</v>
      </c>
      <c r="C70" t="e">
        <f ca="1">INDIRECT(ADDRESS(39,C68))</f>
        <v>#N/A</v>
      </c>
      <c r="D70" s="25" t="s">
        <v>25</v>
      </c>
      <c r="F70">
        <v>0.01</v>
      </c>
      <c r="G70" t="e">
        <f ca="1">INDIRECT(ADDRESS(39,G68))</f>
        <v>#N/A</v>
      </c>
      <c r="H70" s="25" t="s">
        <v>25</v>
      </c>
    </row>
    <row r="71" spans="2:8">
      <c r="B71">
        <v>0.1</v>
      </c>
      <c r="C71" t="e">
        <f ca="1">INDIRECT(ADDRESS(40,C68))</f>
        <v>#N/A</v>
      </c>
      <c r="D71" s="25" t="s">
        <v>25</v>
      </c>
      <c r="F71">
        <v>0.1</v>
      </c>
      <c r="G71" t="e">
        <f ca="1">INDIRECT(ADDRESS(40,G68))</f>
        <v>#N/A</v>
      </c>
      <c r="H71" s="25" t="s">
        <v>25</v>
      </c>
    </row>
    <row r="72" spans="2:8">
      <c r="B72">
        <v>1</v>
      </c>
      <c r="C72" t="e">
        <f ca="1">INDIRECT(ADDRESS(41,C68))</f>
        <v>#N/A</v>
      </c>
      <c r="D72" s="25" t="s">
        <v>25</v>
      </c>
      <c r="F72">
        <v>1</v>
      </c>
      <c r="G72" s="25" t="e">
        <f ca="1">INDIRECT(ADDRESS(41,G68))</f>
        <v>#N/A</v>
      </c>
      <c r="H72" s="25" t="s">
        <v>25</v>
      </c>
    </row>
    <row r="73" spans="2:8">
      <c r="B73">
        <v>10</v>
      </c>
      <c r="C73" t="e">
        <f ca="1">INDIRECT(ADDRESS(42,C68))</f>
        <v>#N/A</v>
      </c>
      <c r="D73" s="25" t="s">
        <v>25</v>
      </c>
      <c r="F73">
        <v>10</v>
      </c>
      <c r="G73" t="e">
        <f ca="1">INDIRECT(ADDRESS(42,G68))</f>
        <v>#N/A</v>
      </c>
      <c r="H73" s="25" t="s">
        <v>25</v>
      </c>
    </row>
    <row r="74" spans="2:8">
      <c r="B74">
        <v>100</v>
      </c>
      <c r="C74" t="e">
        <f ca="1">INDIRECT(ADDRESS(43,C68))</f>
        <v>#N/A</v>
      </c>
      <c r="D74" s="25" t="s">
        <v>25</v>
      </c>
      <c r="F74">
        <v>100</v>
      </c>
      <c r="G74" t="e">
        <f ca="1">INDIRECT(ADDRESS(43,G68))</f>
        <v>#N/A</v>
      </c>
      <c r="H74" s="25" t="s">
        <v>25</v>
      </c>
    </row>
    <row r="76" spans="2:8">
      <c r="B76" t="s">
        <v>523</v>
      </c>
      <c r="C76" t="e">
        <f ca="1">INDIRECT(ADDRESS(33,C68))</f>
        <v>#N/A</v>
      </c>
      <c r="D76" t="s">
        <v>87</v>
      </c>
      <c r="F76" t="s">
        <v>523</v>
      </c>
      <c r="G76" t="e">
        <f ca="1">INDIRECT(ADDRESS(33,G68))</f>
        <v>#N/A</v>
      </c>
      <c r="H76" t="s">
        <v>87</v>
      </c>
    </row>
    <row r="77" spans="2:8">
      <c r="B77" t="s">
        <v>466</v>
      </c>
      <c r="C77" t="e">
        <f ca="1">INDIRECT(ADDRESS(32,C68))</f>
        <v>#N/A</v>
      </c>
      <c r="F77" t="s">
        <v>466</v>
      </c>
      <c r="G77" t="e">
        <f ca="1">INDIRECT(ADDRESS(32,G68))</f>
        <v>#N/A</v>
      </c>
    </row>
    <row r="78" spans="2:8" ht="14">
      <c r="B78" t="s">
        <v>158</v>
      </c>
      <c r="C78" s="25" t="e">
        <f ca="1">INDIRECT(ADDRESS(34,C68))</f>
        <v>#N/A</v>
      </c>
      <c r="D78" s="25" t="s">
        <v>456</v>
      </c>
      <c r="F78" t="s">
        <v>158</v>
      </c>
      <c r="G78" s="25" t="e">
        <f ca="1">INDIRECT(ADDRESS(34,G68))</f>
        <v>#N/A</v>
      </c>
      <c r="H78" s="25" t="s">
        <v>456</v>
      </c>
    </row>
    <row r="79" spans="2:8" ht="14">
      <c r="B79" t="s">
        <v>457</v>
      </c>
      <c r="C79" t="e">
        <f ca="1">INDIRECT(ADDRESS(6,C68))</f>
        <v>#N/A</v>
      </c>
      <c r="D79" s="25" t="s">
        <v>456</v>
      </c>
      <c r="F79" t="s">
        <v>457</v>
      </c>
      <c r="G79" t="e">
        <f ca="1">INDIRECT(ADDRESS(6,G68))</f>
        <v>#N/A</v>
      </c>
      <c r="H79" s="25" t="s">
        <v>456</v>
      </c>
    </row>
    <row r="80" spans="2:8" ht="14">
      <c r="B80" t="s">
        <v>524</v>
      </c>
      <c r="C80" t="e">
        <f ca="1">INDIRECT(ADDRESS(7,C68))*INDIRECT(ADDRESS(29,C68))</f>
        <v>#N/A</v>
      </c>
      <c r="D80" s="25" t="s">
        <v>459</v>
      </c>
      <c r="F80" t="s">
        <v>524</v>
      </c>
      <c r="G80" t="e">
        <f ca="1">INDIRECT(ADDRESS(7,G68))*INDIRECT(ADDRESS(29,G68))</f>
        <v>#N/A</v>
      </c>
      <c r="H80" s="25" t="s">
        <v>459</v>
      </c>
    </row>
    <row r="81" spans="2:8">
      <c r="B81" t="s">
        <v>480</v>
      </c>
      <c r="C81" t="e">
        <f ca="1">INDIRECT(ADDRESS(61,C68))</f>
        <v>#N/A</v>
      </c>
      <c r="F81" t="s">
        <v>480</v>
      </c>
      <c r="G81" t="e">
        <f ca="1">INDIRECT(ADDRESS(61,G68))</f>
        <v>#N/A</v>
      </c>
    </row>
    <row r="82" spans="2:8">
      <c r="B82" t="s">
        <v>525</v>
      </c>
      <c r="C82" s="232" t="e">
        <f ca="1">HYPERLINK(INDIRECT(ADDRESS(5,C68)))</f>
        <v>#N/A</v>
      </c>
      <c r="F82" t="s">
        <v>525</v>
      </c>
      <c r="G82" s="232" t="e">
        <f ca="1">HYPERLINK(INDIRECT(ADDRESS(5,G68)))</f>
        <v>#N/A</v>
      </c>
    </row>
    <row r="83" spans="2:8">
      <c r="B83" t="s">
        <v>526</v>
      </c>
      <c r="C83" s="232" t="e">
        <f ca="1">HYPERLINK(INDIRECT(ADDRESS(30,C68)))</f>
        <v>#N/A</v>
      </c>
      <c r="F83" t="s">
        <v>526</v>
      </c>
      <c r="G83" s="232" t="e">
        <f ca="1">HYPERLINK(INDIRECT(ADDRESS(30,G68)))</f>
        <v>#N/A</v>
      </c>
    </row>
    <row r="84" spans="2:8">
      <c r="B84" t="s">
        <v>470</v>
      </c>
      <c r="C84" t="e">
        <f ca="1">INDIRECT(ADDRESS(35,C68))</f>
        <v>#N/A</v>
      </c>
      <c r="D84" s="25" t="s">
        <v>528</v>
      </c>
      <c r="F84" t="s">
        <v>470</v>
      </c>
      <c r="G84" t="e">
        <f ca="1">INDIRECT(ADDRESS(35,G68))</f>
        <v>#N/A</v>
      </c>
      <c r="H84" s="25" t="s">
        <v>528</v>
      </c>
    </row>
  </sheetData>
  <conditionalFormatting sqref="B27:B28">
    <cfRule type="expression" dxfId="19" priority="19">
      <formula>#REF!="No"</formula>
    </cfRule>
    <cfRule type="expression" dxfId="18" priority="20">
      <formula>#REF!="No"</formula>
    </cfRule>
  </conditionalFormatting>
  <conditionalFormatting sqref="F27:F28">
    <cfRule type="expression" dxfId="17" priority="17">
      <formula>#REF!="No"</formula>
    </cfRule>
    <cfRule type="expression" dxfId="16" priority="18">
      <formula>#REF!="No"</formula>
    </cfRule>
  </conditionalFormatting>
  <conditionalFormatting sqref="J27:J28">
    <cfRule type="expression" dxfId="15" priority="15">
      <formula>#REF!="No"</formula>
    </cfRule>
    <cfRule type="expression" dxfId="14" priority="16">
      <formula>#REF!="No"</formula>
    </cfRule>
  </conditionalFormatting>
  <conditionalFormatting sqref="N27:N28">
    <cfRule type="expression" dxfId="13" priority="13">
      <formula>#REF!="No"</formula>
    </cfRule>
    <cfRule type="expression" dxfId="12" priority="14">
      <formula>#REF!="No"</formula>
    </cfRule>
  </conditionalFormatting>
  <conditionalFormatting sqref="R27:R28">
    <cfRule type="expression" dxfId="11" priority="11">
      <formula>#REF!="No"</formula>
    </cfRule>
    <cfRule type="expression" dxfId="10" priority="12">
      <formula>#REF!="No"</formula>
    </cfRule>
  </conditionalFormatting>
  <conditionalFormatting sqref="V27:V28">
    <cfRule type="expression" dxfId="9" priority="9">
      <formula>#REF!="No"</formula>
    </cfRule>
    <cfRule type="expression" dxfId="8" priority="10">
      <formula>#REF!="No"</formula>
    </cfRule>
  </conditionalFormatting>
  <conditionalFormatting sqref="Z27:Z28">
    <cfRule type="expression" dxfId="7" priority="7">
      <formula>#REF!="No"</formula>
    </cfRule>
    <cfRule type="expression" dxfId="6" priority="8">
      <formula>#REF!="No"</formula>
    </cfRule>
  </conditionalFormatting>
  <conditionalFormatting sqref="AD27:AD28">
    <cfRule type="expression" dxfId="5" priority="5">
      <formula>#REF!="No"</formula>
    </cfRule>
    <cfRule type="expression" dxfId="4" priority="6">
      <formula>#REF!="No"</formula>
    </cfRule>
  </conditionalFormatting>
  <conditionalFormatting sqref="AH27:AH28">
    <cfRule type="expression" dxfId="3" priority="3">
      <formula>#REF!="No"</formula>
    </cfRule>
    <cfRule type="expression" dxfId="2" priority="4">
      <formula>#REF!="No"</formula>
    </cfRule>
  </conditionalFormatting>
  <conditionalFormatting sqref="AL27:AL28">
    <cfRule type="expression" dxfId="1" priority="1">
      <formula>#REF!="No"</formula>
    </cfRule>
    <cfRule type="expression" dxfId="0" priority="2">
      <formula>#REF!="No"</formula>
    </cfRule>
  </conditionalFormatting>
  <hyperlinks>
    <hyperlink ref="C5" r:id="rId1" xr:uid="{DF63FF81-DD89-49FB-9DD7-32994C9BBEFD}"/>
    <hyperlink ref="C30" r:id="rId2" xr:uid="{21CF5ECC-8F5B-42F9-9C01-41F9FDA2222E}"/>
    <hyperlink ref="G5" r:id="rId3" xr:uid="{B1EC0E7D-9AE9-493A-B16F-1338BD16CC0B}"/>
    <hyperlink ref="G30" r:id="rId4" xr:uid="{7254B2BD-B52F-422C-91A0-BFF2B75581EC}"/>
    <hyperlink ref="K5" r:id="rId5" xr:uid="{95B0419D-A2CC-43FB-B4D2-B4232078B33A}"/>
    <hyperlink ref="K30" r:id="rId6" xr:uid="{347F3D82-4599-49F7-904D-9F16445AD291}"/>
    <hyperlink ref="O5" r:id="rId7" xr:uid="{AD6B07A2-439F-42BF-AB75-14E4E9119467}"/>
    <hyperlink ref="O30" r:id="rId8" xr:uid="{0BD821E6-F420-42DA-9E0F-B92AC8EF2F2B}"/>
    <hyperlink ref="S5" r:id="rId9" xr:uid="{D1F87497-6B3F-4B2A-9C18-54C6E9E550C3}"/>
    <hyperlink ref="S30" r:id="rId10" xr:uid="{966947BC-6706-4464-AF01-A7F258517FDD}"/>
    <hyperlink ref="W5" r:id="rId11" xr:uid="{E8896B6E-F417-46AA-99E1-6D2EE3A99F31}"/>
    <hyperlink ref="W30" r:id="rId12" xr:uid="{317E7725-617D-47DB-8189-F08FCCF5E256}"/>
    <hyperlink ref="AA5" r:id="rId13" xr:uid="{DB82FF9E-B4DC-4739-8B43-8700E1F6F40E}"/>
    <hyperlink ref="AA30" r:id="rId14" xr:uid="{B3ADB71D-1D29-4012-8626-8EEE2BA56A18}"/>
    <hyperlink ref="AE5" r:id="rId15" xr:uid="{D7BE6148-AEAE-44E9-A125-0233947C7AC7}"/>
    <hyperlink ref="AE30" r:id="rId16" xr:uid="{C4BF460F-530D-4B6C-A47A-C732E2D6B2F9}"/>
    <hyperlink ref="AI5" r:id="rId17" xr:uid="{7EF7F0B6-997E-41C1-AA3F-8CF14EF6F09D}"/>
    <hyperlink ref="AI30" r:id="rId18" xr:uid="{5353C02F-BBA1-4F62-B4B4-8A5DD816706E}"/>
    <hyperlink ref="AM5" r:id="rId19" xr:uid="{0A603B26-539D-46A5-A8C2-D15E0889EC12}"/>
    <hyperlink ref="AM30" r:id="rId20" xr:uid="{B14BBBD3-9F99-485D-A826-E352DABD08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353"/>
  <sheetViews>
    <sheetView zoomScale="80" zoomScaleNormal="80" workbookViewId="0">
      <selection activeCell="M2" sqref="M2"/>
    </sheetView>
  </sheetViews>
  <sheetFormatPr baseColWidth="10" defaultColWidth="9.1640625" defaultRowHeight="13"/>
  <cols>
    <col min="1" max="1" width="11" style="58" customWidth="1"/>
    <col min="2" max="3" width="9.1640625" style="58"/>
    <col min="4" max="5" width="15" style="58" customWidth="1"/>
    <col min="6" max="6" width="15.5" style="58" customWidth="1"/>
    <col min="7" max="7" width="14.83203125" style="58" customWidth="1"/>
    <col min="8" max="8" width="10.6640625" style="58" customWidth="1"/>
    <col min="9" max="9" width="12.5" style="58" bestFit="1" customWidth="1"/>
    <col min="10" max="10" width="14.83203125" style="58" customWidth="1"/>
    <col min="11" max="11" width="12.83203125" style="58" customWidth="1"/>
    <col min="12" max="12" width="14.33203125" style="58" customWidth="1"/>
    <col min="13" max="13" width="20.83203125" style="58" customWidth="1"/>
    <col min="14" max="14" width="12.6640625" style="58" customWidth="1"/>
    <col min="15" max="15" width="10.1640625" style="58" bestFit="1" customWidth="1"/>
    <col min="16" max="16" width="18.83203125" style="58" customWidth="1"/>
    <col min="17" max="17" width="10.83203125" style="58" customWidth="1"/>
    <col min="18" max="16384" width="9.1640625" style="58"/>
  </cols>
  <sheetData>
    <row r="1" spans="1:25">
      <c r="B1" s="58" t="s">
        <v>138</v>
      </c>
      <c r="C1" s="58" t="s">
        <v>276</v>
      </c>
      <c r="D1" s="58" t="s">
        <v>277</v>
      </c>
      <c r="F1" s="133" t="s">
        <v>311</v>
      </c>
      <c r="G1" s="133" t="s">
        <v>278</v>
      </c>
      <c r="H1" s="133" t="s">
        <v>279</v>
      </c>
      <c r="I1" s="133" t="s">
        <v>280</v>
      </c>
      <c r="J1" s="133" t="s">
        <v>281</v>
      </c>
      <c r="K1" s="133"/>
      <c r="L1" s="133"/>
      <c r="M1" s="133" t="s">
        <v>285</v>
      </c>
      <c r="N1" s="133"/>
      <c r="O1" s="133" t="s">
        <v>286</v>
      </c>
      <c r="Q1" s="58" t="s">
        <v>326</v>
      </c>
      <c r="R1" s="58" t="s">
        <v>327</v>
      </c>
    </row>
    <row r="2" spans="1:25">
      <c r="B2" s="128">
        <f>'Design Calculator'!F52</f>
        <v>72.582399999999993</v>
      </c>
      <c r="C2" s="58">
        <f>'Design Calculator'!F42</f>
        <v>22.681999999999999</v>
      </c>
      <c r="D2" s="58" t="str">
        <f>IF( 'Design Calculator'!F28 = "Constant Current", "CC", "R")</f>
        <v>CC</v>
      </c>
      <c r="F2" s="58" t="str">
        <f>'Design Calculator'!F30</f>
        <v>Soft Start</v>
      </c>
      <c r="G2" s="58">
        <f>'Design Calculator'!F29</f>
        <v>0.2</v>
      </c>
      <c r="H2" s="58">
        <f>'Design Calculator'!F27</f>
        <v>0</v>
      </c>
      <c r="I2" s="58">
        <f>RsEFF</f>
        <v>2.4248302618816684</v>
      </c>
      <c r="J2" s="58">
        <f>'Device Parameters'!E12</f>
        <v>1E-3</v>
      </c>
      <c r="M2" s="128">
        <f>J114*1000</f>
        <v>206.24999999999977</v>
      </c>
      <c r="N2" s="58" t="s">
        <v>8</v>
      </c>
      <c r="O2" s="131">
        <f>MIN(L10:L111)</f>
        <v>0.61538461538461542</v>
      </c>
      <c r="Q2" s="58">
        <f>'Device Parameters'!E30/'Device Parameters'!D30</f>
        <v>1.375</v>
      </c>
      <c r="R2" s="58">
        <f>'Device Parameters'!C30/'Device Parameters'!D30</f>
        <v>0.625</v>
      </c>
    </row>
    <row r="3" spans="1:25">
      <c r="B3" s="128"/>
      <c r="M3" s="128"/>
      <c r="O3" s="131"/>
    </row>
    <row r="4" spans="1:25">
      <c r="B4" s="128"/>
      <c r="D4" s="58" t="s">
        <v>318</v>
      </c>
      <c r="M4" s="128" t="s">
        <v>319</v>
      </c>
      <c r="N4" s="58">
        <f>MIN(M10:M114)</f>
        <v>0.48319999999999991</v>
      </c>
      <c r="O4" s="131" t="s">
        <v>315</v>
      </c>
      <c r="P4" s="58" t="s">
        <v>328</v>
      </c>
      <c r="Q4" s="58">
        <f>MAX(O10:O114)</f>
        <v>11.440000000000001</v>
      </c>
      <c r="R4" s="58" t="s">
        <v>87</v>
      </c>
    </row>
    <row r="5" spans="1:25">
      <c r="B5" s="128"/>
      <c r="M5" s="58" t="s">
        <v>320</v>
      </c>
      <c r="N5" s="58">
        <f>SUM(N10:N114)</f>
        <v>1.1684062499999999</v>
      </c>
      <c r="O5" s="131" t="s">
        <v>321</v>
      </c>
      <c r="P5" s="58" t="s">
        <v>330</v>
      </c>
      <c r="Q5" s="58">
        <f>MAX(P10:P114)</f>
        <v>14.08</v>
      </c>
      <c r="R5" s="58" t="s">
        <v>87</v>
      </c>
    </row>
    <row r="6" spans="1:25">
      <c r="P6" s="58" t="s">
        <v>329</v>
      </c>
      <c r="Q6" s="58">
        <f>MAX(Q10:Q114)</f>
        <v>8.8000000000000007</v>
      </c>
      <c r="R6" s="58" t="s">
        <v>87</v>
      </c>
    </row>
    <row r="7" spans="1:25">
      <c r="A7" s="129" t="s">
        <v>159</v>
      </c>
      <c r="B7" s="130" t="s">
        <v>132</v>
      </c>
      <c r="C7" s="130" t="s">
        <v>133</v>
      </c>
      <c r="D7" s="130" t="s">
        <v>138</v>
      </c>
      <c r="E7" s="130" t="s">
        <v>309</v>
      </c>
      <c r="F7" s="130" t="s">
        <v>310</v>
      </c>
      <c r="G7" s="130" t="s">
        <v>283</v>
      </c>
      <c r="H7" s="130" t="s">
        <v>157</v>
      </c>
      <c r="I7" s="130" t="s">
        <v>282</v>
      </c>
      <c r="J7" s="130" t="s">
        <v>143</v>
      </c>
      <c r="K7" s="130" t="s">
        <v>359</v>
      </c>
      <c r="L7" s="129" t="s">
        <v>284</v>
      </c>
      <c r="M7" s="129" t="s">
        <v>322</v>
      </c>
      <c r="N7" s="129" t="s">
        <v>358</v>
      </c>
      <c r="O7" s="129" t="s">
        <v>323</v>
      </c>
      <c r="P7" s="58" t="s">
        <v>324</v>
      </c>
      <c r="Q7" s="58" t="s">
        <v>325</v>
      </c>
    </row>
    <row r="8" spans="1:25">
      <c r="A8" s="129"/>
      <c r="B8" s="130"/>
      <c r="C8" s="130"/>
      <c r="D8" s="130"/>
      <c r="E8" s="130"/>
      <c r="F8" s="130"/>
      <c r="G8" s="130"/>
      <c r="H8" s="130"/>
      <c r="I8" s="130"/>
      <c r="J8" s="130"/>
      <c r="K8" s="160">
        <v>-1</v>
      </c>
      <c r="L8" s="129"/>
      <c r="M8" s="129"/>
      <c r="N8" s="129"/>
      <c r="O8" s="58">
        <v>0</v>
      </c>
    </row>
    <row r="9" spans="1:25">
      <c r="A9" s="129"/>
      <c r="B9" s="130"/>
      <c r="C9" s="130"/>
      <c r="D9" s="130"/>
      <c r="E9" s="130"/>
      <c r="F9" s="130"/>
      <c r="G9" s="130"/>
      <c r="H9" s="130"/>
      <c r="I9" s="130"/>
      <c r="J9" s="130"/>
      <c r="K9" s="64">
        <v>-0.01</v>
      </c>
      <c r="L9" s="129"/>
      <c r="M9" s="129"/>
      <c r="N9" s="129"/>
      <c r="O9" s="58">
        <v>0</v>
      </c>
    </row>
    <row r="10" spans="1:25">
      <c r="A10" s="58">
        <f t="shared" ref="A10:A41" si="0">VINMAX</f>
        <v>22</v>
      </c>
      <c r="B10" s="61">
        <f t="shared" ref="B10:B41" si="1">VINMAX*((ROW()-10)/104)</f>
        <v>0</v>
      </c>
      <c r="C10" s="59">
        <f t="shared" ref="C10:C41" si="2">IF(B10&gt;=$H$2,IF($D$2="CC", $G$2, B10/$G$2), 0)</f>
        <v>0.2</v>
      </c>
      <c r="D10" s="64">
        <f>B2</f>
        <v>72.582399999999993</v>
      </c>
      <c r="E10" s="57">
        <f>MIN(D10/(A10-B10),$C$2)</f>
        <v>3.2991999999999995</v>
      </c>
      <c r="F10" s="59">
        <f>I_Cout_ss+C10</f>
        <v>0.52</v>
      </c>
      <c r="G10" s="57">
        <f>IF($F$2="Soft Start", F10, E10)</f>
        <v>0.52</v>
      </c>
      <c r="H10" s="59">
        <f t="shared" ref="H10:H41" si="3">G10-C10</f>
        <v>0.32</v>
      </c>
      <c r="I10" s="60">
        <f>(COUTMAX/1000000)*(B10)/H10</f>
        <v>0</v>
      </c>
      <c r="J10" s="60">
        <f>I10</f>
        <v>0</v>
      </c>
      <c r="K10" s="160">
        <f>J10*1000</f>
        <v>0</v>
      </c>
      <c r="L10" s="131">
        <f>H10/G10</f>
        <v>0.61538461538461542</v>
      </c>
      <c r="M10" s="58">
        <f t="shared" ref="M10:M41" si="4">1/COUTMAX*(E10/2-C10)*1000</f>
        <v>0.48319999999999991</v>
      </c>
      <c r="N10" s="58">
        <f>I10*G10*(A10-B10)</f>
        <v>0</v>
      </c>
      <c r="O10" s="58">
        <f>G10*(A10-B10)</f>
        <v>11.440000000000001</v>
      </c>
      <c r="P10" s="58">
        <f t="shared" ref="P10:P41" si="5">(A10-B10)*(I_Cout_ss*$Q$2+C10)</f>
        <v>14.08</v>
      </c>
      <c r="Q10" s="58">
        <f t="shared" ref="Q10:Q41" si="6">(A10-B10)*(I_Cout_ss*$R$2+C10)</f>
        <v>8.8000000000000007</v>
      </c>
    </row>
    <row r="11" spans="1:25">
      <c r="A11" s="58">
        <f t="shared" si="0"/>
        <v>22</v>
      </c>
      <c r="B11" s="61">
        <f t="shared" si="1"/>
        <v>0.21153846153846156</v>
      </c>
      <c r="C11" s="59">
        <f t="shared" si="2"/>
        <v>0.2</v>
      </c>
      <c r="D11" s="64">
        <f>B2</f>
        <v>72.582399999999993</v>
      </c>
      <c r="E11" s="57">
        <f t="shared" ref="E11:E74" si="7">MIN(D11/(A11-B11),$C$2)</f>
        <v>3.3312310679611645</v>
      </c>
      <c r="F11" s="59">
        <f t="shared" ref="F11:F41" si="8">I_Cout_ss+C11</f>
        <v>0.52</v>
      </c>
      <c r="G11" s="57">
        <f t="shared" ref="G11:G74" si="9">IF($F$2="Soft Start", F11, E11)</f>
        <v>0.52</v>
      </c>
      <c r="H11" s="59">
        <f t="shared" si="3"/>
        <v>0.32</v>
      </c>
      <c r="I11" s="60">
        <f t="shared" ref="I11:I42" si="10">(COUTMAX/1000000)*(B11-B10)/H11</f>
        <v>1.9831730769230773E-3</v>
      </c>
      <c r="J11" s="60">
        <f>J10+I11</f>
        <v>1.9831730769230773E-3</v>
      </c>
      <c r="K11" s="160">
        <f t="shared" ref="K11:K74" si="11">J11*1000</f>
        <v>1.9831730769230773</v>
      </c>
      <c r="L11" s="131">
        <f t="shared" ref="L11:L74" si="12">H11/G11</f>
        <v>0.61538461538461542</v>
      </c>
      <c r="M11" s="58">
        <f t="shared" si="4"/>
        <v>0.48853851132686077</v>
      </c>
      <c r="N11" s="58">
        <f t="shared" ref="N11:N13" si="13">I11*G11*(A11-B11)</f>
        <v>2.2469350961538469E-2</v>
      </c>
      <c r="O11" s="58">
        <f t="shared" ref="O11:O74" si="14">G11*(A11-B11)</f>
        <v>11.330000000000002</v>
      </c>
      <c r="P11" s="58">
        <f t="shared" si="5"/>
        <v>13.944615384615386</v>
      </c>
      <c r="Q11" s="58">
        <f t="shared" si="6"/>
        <v>8.7153846153846164</v>
      </c>
    </row>
    <row r="12" spans="1:25">
      <c r="A12" s="58">
        <f t="shared" si="0"/>
        <v>22</v>
      </c>
      <c r="B12" s="61">
        <f t="shared" si="1"/>
        <v>0.42307692307692313</v>
      </c>
      <c r="C12" s="59">
        <f t="shared" si="2"/>
        <v>0.2</v>
      </c>
      <c r="D12" s="64">
        <f>B2</f>
        <v>72.582399999999993</v>
      </c>
      <c r="E12" s="57">
        <f t="shared" si="7"/>
        <v>3.3638901960784309</v>
      </c>
      <c r="F12" s="59">
        <f t="shared" si="8"/>
        <v>0.52</v>
      </c>
      <c r="G12" s="57">
        <f t="shared" si="9"/>
        <v>0.52</v>
      </c>
      <c r="H12" s="59">
        <f t="shared" si="3"/>
        <v>0.32</v>
      </c>
      <c r="I12" s="60">
        <f t="shared" si="10"/>
        <v>1.9831730769230773E-3</v>
      </c>
      <c r="J12" s="60">
        <f t="shared" ref="J12:J75" si="15">J11+I12</f>
        <v>3.9663461538461545E-3</v>
      </c>
      <c r="K12" s="160">
        <f t="shared" si="11"/>
        <v>3.9663461538461546</v>
      </c>
      <c r="L12" s="131">
        <f t="shared" si="12"/>
        <v>0.61538461538461542</v>
      </c>
      <c r="M12" s="58">
        <f t="shared" si="4"/>
        <v>0.49398169934640512</v>
      </c>
      <c r="N12" s="58">
        <f>I12*G12*(A12-B12)</f>
        <v>2.2251201923076929E-2</v>
      </c>
      <c r="O12" s="58">
        <f t="shared" si="14"/>
        <v>11.22</v>
      </c>
      <c r="P12" s="58">
        <f t="shared" si="5"/>
        <v>13.809230769230769</v>
      </c>
      <c r="Q12" s="58">
        <f t="shared" si="6"/>
        <v>8.6307692307692303</v>
      </c>
      <c r="X12" s="358" t="s">
        <v>134</v>
      </c>
      <c r="Y12" s="358"/>
    </row>
    <row r="13" spans="1:25">
      <c r="A13" s="58">
        <f t="shared" si="0"/>
        <v>22</v>
      </c>
      <c r="B13" s="61">
        <f t="shared" si="1"/>
        <v>0.63461538461538469</v>
      </c>
      <c r="C13" s="59">
        <f t="shared" si="2"/>
        <v>0.2</v>
      </c>
      <c r="D13" s="64">
        <f>B2</f>
        <v>72.582399999999993</v>
      </c>
      <c r="E13" s="57">
        <f t="shared" si="7"/>
        <v>3.3971960396039598</v>
      </c>
      <c r="F13" s="59">
        <f t="shared" si="8"/>
        <v>0.52</v>
      </c>
      <c r="G13" s="57">
        <f t="shared" si="9"/>
        <v>0.52</v>
      </c>
      <c r="H13" s="59">
        <f t="shared" si="3"/>
        <v>0.32</v>
      </c>
      <c r="I13" s="60">
        <f t="shared" si="10"/>
        <v>1.9831730769230773E-3</v>
      </c>
      <c r="J13" s="60">
        <f t="shared" si="15"/>
        <v>5.9495192307692322E-3</v>
      </c>
      <c r="K13" s="160">
        <f t="shared" si="11"/>
        <v>5.9495192307692326</v>
      </c>
      <c r="L13" s="131">
        <f t="shared" si="12"/>
        <v>0.61538461538461542</v>
      </c>
      <c r="M13" s="58">
        <f t="shared" si="4"/>
        <v>0.49953267326732664</v>
      </c>
      <c r="N13" s="58">
        <f t="shared" si="13"/>
        <v>2.2033052884615392E-2</v>
      </c>
      <c r="O13" s="58">
        <f t="shared" si="14"/>
        <v>11.110000000000001</v>
      </c>
      <c r="P13" s="58">
        <f t="shared" si="5"/>
        <v>13.673846153846155</v>
      </c>
      <c r="Q13" s="58">
        <f t="shared" si="6"/>
        <v>8.5461538461538478</v>
      </c>
      <c r="X13" s="62" t="s">
        <v>135</v>
      </c>
      <c r="Y13" s="62">
        <v>0.3</v>
      </c>
    </row>
    <row r="14" spans="1:25">
      <c r="A14" s="58">
        <f t="shared" si="0"/>
        <v>22</v>
      </c>
      <c r="B14" s="61">
        <f t="shared" si="1"/>
        <v>0.84615384615384626</v>
      </c>
      <c r="C14" s="59">
        <f t="shared" si="2"/>
        <v>0.2</v>
      </c>
      <c r="D14" s="64">
        <f>B2</f>
        <v>72.582399999999993</v>
      </c>
      <c r="E14" s="57">
        <f t="shared" si="7"/>
        <v>3.4311679999999996</v>
      </c>
      <c r="F14" s="59">
        <f t="shared" si="8"/>
        <v>0.52</v>
      </c>
      <c r="G14" s="57">
        <f t="shared" si="9"/>
        <v>0.52</v>
      </c>
      <c r="H14" s="59">
        <f t="shared" si="3"/>
        <v>0.32</v>
      </c>
      <c r="I14" s="60">
        <f t="shared" si="10"/>
        <v>1.9831730769230773E-3</v>
      </c>
      <c r="J14" s="60">
        <f t="shared" si="15"/>
        <v>7.932692307692309E-3</v>
      </c>
      <c r="K14" s="160">
        <f t="shared" si="11"/>
        <v>7.9326923076923093</v>
      </c>
      <c r="L14" s="131">
        <f t="shared" si="12"/>
        <v>0.61538461538461542</v>
      </c>
      <c r="M14" s="58">
        <f t="shared" si="4"/>
        <v>0.50519466666666657</v>
      </c>
      <c r="N14" s="58">
        <f t="shared" ref="N14:N74" si="16">I14*G14*(A14-B14)</f>
        <v>2.1814903846153852E-2</v>
      </c>
      <c r="O14" s="58">
        <f t="shared" si="14"/>
        <v>11</v>
      </c>
      <c r="P14" s="58">
        <f t="shared" si="5"/>
        <v>13.538461538461538</v>
      </c>
      <c r="Q14" s="58">
        <f t="shared" si="6"/>
        <v>8.4615384615384617</v>
      </c>
      <c r="X14" s="62" t="s">
        <v>136</v>
      </c>
      <c r="Y14" s="62">
        <v>0.3</v>
      </c>
    </row>
    <row r="15" spans="1:25">
      <c r="A15" s="58">
        <f t="shared" si="0"/>
        <v>22</v>
      </c>
      <c r="B15" s="61">
        <f t="shared" si="1"/>
        <v>1.0576923076923077</v>
      </c>
      <c r="C15" s="59">
        <f t="shared" si="2"/>
        <v>0.2</v>
      </c>
      <c r="D15" s="64">
        <f>B2</f>
        <v>72.582399999999993</v>
      </c>
      <c r="E15" s="57">
        <f t="shared" si="7"/>
        <v>3.4658262626262619</v>
      </c>
      <c r="F15" s="59">
        <f t="shared" si="8"/>
        <v>0.52</v>
      </c>
      <c r="G15" s="57">
        <f t="shared" si="9"/>
        <v>0.52</v>
      </c>
      <c r="H15" s="59">
        <f t="shared" si="3"/>
        <v>0.32</v>
      </c>
      <c r="I15" s="60">
        <f t="shared" si="10"/>
        <v>1.9831730769230764E-3</v>
      </c>
      <c r="J15" s="60">
        <f t="shared" si="15"/>
        <v>9.9158653846153858E-3</v>
      </c>
      <c r="K15" s="160">
        <f t="shared" si="11"/>
        <v>9.915865384615385</v>
      </c>
      <c r="L15" s="131">
        <f t="shared" si="12"/>
        <v>0.61538461538461542</v>
      </c>
      <c r="M15" s="58">
        <f t="shared" si="4"/>
        <v>0.51097104377104363</v>
      </c>
      <c r="N15" s="58">
        <f t="shared" si="16"/>
        <v>2.1596754807692305E-2</v>
      </c>
      <c r="O15" s="58">
        <f t="shared" si="14"/>
        <v>10.89</v>
      </c>
      <c r="P15" s="58">
        <f t="shared" si="5"/>
        <v>13.403076923076924</v>
      </c>
      <c r="Q15" s="58">
        <f t="shared" si="6"/>
        <v>8.3769230769230774</v>
      </c>
      <c r="X15" s="62" t="s">
        <v>137</v>
      </c>
      <c r="Y15" s="62">
        <f>SQRT(Y14^2+Y13^2)</f>
        <v>0.42426406871192851</v>
      </c>
    </row>
    <row r="16" spans="1:25">
      <c r="A16" s="58">
        <f t="shared" si="0"/>
        <v>22</v>
      </c>
      <c r="B16" s="61">
        <f t="shared" si="1"/>
        <v>1.2692307692307694</v>
      </c>
      <c r="C16" s="59">
        <f t="shared" si="2"/>
        <v>0.2</v>
      </c>
      <c r="D16" s="64">
        <f>B2</f>
        <v>72.582399999999993</v>
      </c>
      <c r="E16" s="57">
        <f t="shared" si="7"/>
        <v>3.5011918367346935</v>
      </c>
      <c r="F16" s="59">
        <f t="shared" si="8"/>
        <v>0.52</v>
      </c>
      <c r="G16" s="57">
        <f t="shared" si="9"/>
        <v>0.52</v>
      </c>
      <c r="H16" s="59">
        <f t="shared" si="3"/>
        <v>0.32</v>
      </c>
      <c r="I16" s="60">
        <f t="shared" si="10"/>
        <v>1.9831730769230781E-3</v>
      </c>
      <c r="J16" s="60">
        <f t="shared" si="15"/>
        <v>1.1899038461538464E-2</v>
      </c>
      <c r="K16" s="160">
        <f t="shared" si="11"/>
        <v>11.899038461538465</v>
      </c>
      <c r="L16" s="131">
        <f t="shared" si="12"/>
        <v>0.61538461538461542</v>
      </c>
      <c r="M16" s="58">
        <f t="shared" si="4"/>
        <v>0.51686530612244896</v>
      </c>
      <c r="N16" s="58">
        <f t="shared" si="16"/>
        <v>2.1378605769230782E-2</v>
      </c>
      <c r="O16" s="58">
        <f t="shared" si="14"/>
        <v>10.78</v>
      </c>
      <c r="P16" s="58">
        <f t="shared" si="5"/>
        <v>13.267692307692307</v>
      </c>
      <c r="Q16" s="58">
        <f t="shared" si="6"/>
        <v>8.292307692307693</v>
      </c>
      <c r="X16" s="62"/>
      <c r="Y16" s="62"/>
    </row>
    <row r="17" spans="1:25">
      <c r="A17" s="58">
        <f t="shared" si="0"/>
        <v>22</v>
      </c>
      <c r="B17" s="61">
        <f t="shared" si="1"/>
        <v>1.4807692307692306</v>
      </c>
      <c r="C17" s="59">
        <f t="shared" si="2"/>
        <v>0.2</v>
      </c>
      <c r="D17" s="64">
        <f>B2</f>
        <v>72.582399999999993</v>
      </c>
      <c r="E17" s="57">
        <f t="shared" si="7"/>
        <v>3.5372865979381438</v>
      </c>
      <c r="F17" s="59">
        <f t="shared" si="8"/>
        <v>0.52</v>
      </c>
      <c r="G17" s="57">
        <f t="shared" si="9"/>
        <v>0.52</v>
      </c>
      <c r="H17" s="59">
        <f t="shared" si="3"/>
        <v>0.32</v>
      </c>
      <c r="I17" s="60">
        <f t="shared" si="10"/>
        <v>1.9831730769230742E-3</v>
      </c>
      <c r="J17" s="60">
        <f t="shared" si="15"/>
        <v>1.3882211538461538E-2</v>
      </c>
      <c r="K17" s="160">
        <f t="shared" si="11"/>
        <v>13.882211538461538</v>
      </c>
      <c r="L17" s="131">
        <f t="shared" si="12"/>
        <v>0.61538461538461542</v>
      </c>
      <c r="M17" s="58">
        <f t="shared" si="4"/>
        <v>0.52288109965635732</v>
      </c>
      <c r="N17" s="58">
        <f t="shared" si="16"/>
        <v>2.1160456730769203E-2</v>
      </c>
      <c r="O17" s="58">
        <f t="shared" si="14"/>
        <v>10.67</v>
      </c>
      <c r="P17" s="58">
        <f t="shared" si="5"/>
        <v>13.132307692307693</v>
      </c>
      <c r="Q17" s="58">
        <f t="shared" si="6"/>
        <v>8.2076923076923087</v>
      </c>
      <c r="X17" s="62" t="s">
        <v>138</v>
      </c>
      <c r="Y17" s="62">
        <v>0.3</v>
      </c>
    </row>
    <row r="18" spans="1:25">
      <c r="A18" s="58">
        <f t="shared" si="0"/>
        <v>22</v>
      </c>
      <c r="B18" s="61">
        <f t="shared" si="1"/>
        <v>1.6923076923076925</v>
      </c>
      <c r="C18" s="59">
        <f t="shared" si="2"/>
        <v>0.2</v>
      </c>
      <c r="D18" s="64">
        <f>B2</f>
        <v>72.582399999999993</v>
      </c>
      <c r="E18" s="57">
        <f t="shared" si="7"/>
        <v>3.5741333333333332</v>
      </c>
      <c r="F18" s="59">
        <f t="shared" si="8"/>
        <v>0.52</v>
      </c>
      <c r="G18" s="57">
        <f t="shared" si="9"/>
        <v>0.52</v>
      </c>
      <c r="H18" s="59">
        <f t="shared" si="3"/>
        <v>0.32</v>
      </c>
      <c r="I18" s="60">
        <f t="shared" si="10"/>
        <v>1.9831730769230803E-3</v>
      </c>
      <c r="J18" s="60">
        <f t="shared" si="15"/>
        <v>1.5865384615384618E-2</v>
      </c>
      <c r="K18" s="160">
        <f t="shared" si="11"/>
        <v>15.865384615384619</v>
      </c>
      <c r="L18" s="131">
        <f t="shared" si="12"/>
        <v>0.61538461538461542</v>
      </c>
      <c r="M18" s="58">
        <f t="shared" si="4"/>
        <v>0.52902222222222217</v>
      </c>
      <c r="N18" s="58">
        <f t="shared" si="16"/>
        <v>2.0942307692307729E-2</v>
      </c>
      <c r="O18" s="58">
        <f t="shared" si="14"/>
        <v>10.56</v>
      </c>
      <c r="P18" s="58">
        <f t="shared" si="5"/>
        <v>12.996923076923077</v>
      </c>
      <c r="Q18" s="58">
        <f t="shared" si="6"/>
        <v>8.1230769230769226</v>
      </c>
      <c r="X18" s="62" t="s">
        <v>139</v>
      </c>
      <c r="Y18" s="62">
        <f>MAX(Y15:Y17)</f>
        <v>0.42426406871192851</v>
      </c>
    </row>
    <row r="19" spans="1:25">
      <c r="A19" s="58">
        <f t="shared" si="0"/>
        <v>22</v>
      </c>
      <c r="B19" s="61">
        <f t="shared" si="1"/>
        <v>1.9038461538461537</v>
      </c>
      <c r="C19" s="59">
        <f t="shared" si="2"/>
        <v>0.2</v>
      </c>
      <c r="D19" s="64">
        <f>B2</f>
        <v>72.582399999999993</v>
      </c>
      <c r="E19" s="57">
        <f t="shared" si="7"/>
        <v>3.6117557894736838</v>
      </c>
      <c r="F19" s="59">
        <f t="shared" si="8"/>
        <v>0.52</v>
      </c>
      <c r="G19" s="57">
        <f t="shared" si="9"/>
        <v>0.52</v>
      </c>
      <c r="H19" s="59">
        <f t="shared" si="3"/>
        <v>0.32</v>
      </c>
      <c r="I19" s="60">
        <f t="shared" si="10"/>
        <v>1.9831730769230742E-3</v>
      </c>
      <c r="J19" s="60">
        <f t="shared" si="15"/>
        <v>1.7848557692307691E-2</v>
      </c>
      <c r="K19" s="160">
        <f t="shared" si="11"/>
        <v>17.84855769230769</v>
      </c>
      <c r="L19" s="131">
        <f t="shared" si="12"/>
        <v>0.61538461538461542</v>
      </c>
      <c r="M19" s="58">
        <f t="shared" si="4"/>
        <v>0.53529263157894724</v>
      </c>
      <c r="N19" s="58">
        <f t="shared" si="16"/>
        <v>2.0724158653846126E-2</v>
      </c>
      <c r="O19" s="58">
        <f t="shared" si="14"/>
        <v>10.450000000000001</v>
      </c>
      <c r="P19" s="58">
        <f t="shared" si="5"/>
        <v>12.861538461538462</v>
      </c>
      <c r="Q19" s="58">
        <f t="shared" si="6"/>
        <v>8.0384615384615383</v>
      </c>
      <c r="X19" s="62"/>
      <c r="Y19" s="62"/>
    </row>
    <row r="20" spans="1:25">
      <c r="A20" s="58">
        <f t="shared" si="0"/>
        <v>22</v>
      </c>
      <c r="B20" s="61">
        <f t="shared" si="1"/>
        <v>2.1153846153846154</v>
      </c>
      <c r="C20" s="59">
        <f t="shared" si="2"/>
        <v>0.2</v>
      </c>
      <c r="D20" s="64">
        <f>B2</f>
        <v>72.582399999999993</v>
      </c>
      <c r="E20" s="57">
        <f t="shared" si="7"/>
        <v>3.6501787234042551</v>
      </c>
      <c r="F20" s="59">
        <f t="shared" si="8"/>
        <v>0.52</v>
      </c>
      <c r="G20" s="57">
        <f t="shared" si="9"/>
        <v>0.52</v>
      </c>
      <c r="H20" s="59">
        <f t="shared" si="3"/>
        <v>0.32</v>
      </c>
      <c r="I20" s="60">
        <f t="shared" si="10"/>
        <v>1.9831730769230781E-3</v>
      </c>
      <c r="J20" s="60">
        <f t="shared" si="15"/>
        <v>1.9831730769230768E-2</v>
      </c>
      <c r="K20" s="160">
        <f t="shared" si="11"/>
        <v>19.831730769230766</v>
      </c>
      <c r="L20" s="131">
        <f t="shared" si="12"/>
        <v>0.61538461538461542</v>
      </c>
      <c r="M20" s="58">
        <f t="shared" si="4"/>
        <v>0.5416964539007092</v>
      </c>
      <c r="N20" s="58">
        <f t="shared" si="16"/>
        <v>2.0506009615384627E-2</v>
      </c>
      <c r="O20" s="58">
        <f t="shared" si="14"/>
        <v>10.34</v>
      </c>
      <c r="P20" s="58">
        <f t="shared" si="5"/>
        <v>12.726153846153846</v>
      </c>
      <c r="Q20" s="58">
        <f t="shared" si="6"/>
        <v>7.953846153846154</v>
      </c>
      <c r="X20" s="62" t="s">
        <v>140</v>
      </c>
      <c r="Y20" s="62">
        <v>0.2</v>
      </c>
    </row>
    <row r="21" spans="1:25">
      <c r="A21" s="58">
        <f t="shared" si="0"/>
        <v>22</v>
      </c>
      <c r="B21" s="61">
        <f t="shared" si="1"/>
        <v>2.3269230769230771</v>
      </c>
      <c r="C21" s="59">
        <f t="shared" si="2"/>
        <v>0.2</v>
      </c>
      <c r="D21" s="64">
        <f>B2</f>
        <v>72.582399999999993</v>
      </c>
      <c r="E21" s="57">
        <f t="shared" si="7"/>
        <v>3.6894279569892467</v>
      </c>
      <c r="F21" s="59">
        <f t="shared" si="8"/>
        <v>0.52</v>
      </c>
      <c r="G21" s="57">
        <f t="shared" si="9"/>
        <v>0.52</v>
      </c>
      <c r="H21" s="59">
        <f t="shared" si="3"/>
        <v>0.32</v>
      </c>
      <c r="I21" s="60">
        <f t="shared" si="10"/>
        <v>1.9831730769230781E-3</v>
      </c>
      <c r="J21" s="60">
        <f t="shared" si="15"/>
        <v>2.1814903846153845E-2</v>
      </c>
      <c r="K21" s="160">
        <f t="shared" si="11"/>
        <v>21.814903846153847</v>
      </c>
      <c r="L21" s="131">
        <f t="shared" si="12"/>
        <v>0.61538461538461542</v>
      </c>
      <c r="M21" s="58">
        <f t="shared" si="4"/>
        <v>0.54823799283154107</v>
      </c>
      <c r="N21" s="58">
        <f t="shared" si="16"/>
        <v>2.028786057692309E-2</v>
      </c>
      <c r="O21" s="58">
        <f t="shared" si="14"/>
        <v>10.23</v>
      </c>
      <c r="P21" s="58">
        <f t="shared" si="5"/>
        <v>12.590769230769231</v>
      </c>
      <c r="Q21" s="58">
        <f t="shared" si="6"/>
        <v>7.8692307692307697</v>
      </c>
      <c r="X21" s="62" t="s">
        <v>141</v>
      </c>
      <c r="Y21" s="62">
        <v>0.2</v>
      </c>
    </row>
    <row r="22" spans="1:25">
      <c r="A22" s="58">
        <f t="shared" si="0"/>
        <v>22</v>
      </c>
      <c r="B22" s="61">
        <f t="shared" si="1"/>
        <v>2.5384615384615388</v>
      </c>
      <c r="C22" s="59">
        <f t="shared" si="2"/>
        <v>0.2</v>
      </c>
      <c r="D22" s="64">
        <f>B2</f>
        <v>72.582399999999993</v>
      </c>
      <c r="E22" s="57">
        <f t="shared" si="7"/>
        <v>3.7295304347826086</v>
      </c>
      <c r="F22" s="59">
        <f t="shared" si="8"/>
        <v>0.52</v>
      </c>
      <c r="G22" s="57">
        <f t="shared" si="9"/>
        <v>0.52</v>
      </c>
      <c r="H22" s="59">
        <f t="shared" si="3"/>
        <v>0.32</v>
      </c>
      <c r="I22" s="60">
        <f t="shared" si="10"/>
        <v>1.9831730769230781E-3</v>
      </c>
      <c r="J22" s="60">
        <f t="shared" si="15"/>
        <v>2.3798076923076922E-2</v>
      </c>
      <c r="K22" s="160">
        <f t="shared" si="11"/>
        <v>23.798076923076923</v>
      </c>
      <c r="L22" s="131">
        <f t="shared" si="12"/>
        <v>0.61538461538461542</v>
      </c>
      <c r="M22" s="58">
        <f t="shared" si="4"/>
        <v>0.55492173913043485</v>
      </c>
      <c r="N22" s="58">
        <f t="shared" si="16"/>
        <v>2.006971153846155E-2</v>
      </c>
      <c r="O22" s="58">
        <f t="shared" si="14"/>
        <v>10.119999999999999</v>
      </c>
      <c r="P22" s="58">
        <f t="shared" si="5"/>
        <v>12.455384615384615</v>
      </c>
      <c r="Q22" s="58">
        <f t="shared" si="6"/>
        <v>7.7846153846153845</v>
      </c>
      <c r="X22" s="62" t="s">
        <v>137</v>
      </c>
      <c r="Y22" s="62">
        <f>SQRT(Y21^2+Y20^2)</f>
        <v>0.28284271247461906</v>
      </c>
    </row>
    <row r="23" spans="1:25">
      <c r="A23" s="58">
        <f t="shared" si="0"/>
        <v>22</v>
      </c>
      <c r="B23" s="61">
        <f t="shared" si="1"/>
        <v>2.75</v>
      </c>
      <c r="C23" s="59">
        <f t="shared" si="2"/>
        <v>0.2</v>
      </c>
      <c r="D23" s="64">
        <f>B2</f>
        <v>72.582399999999993</v>
      </c>
      <c r="E23" s="57">
        <f t="shared" si="7"/>
        <v>3.7705142857142855</v>
      </c>
      <c r="F23" s="59">
        <f t="shared" si="8"/>
        <v>0.52</v>
      </c>
      <c r="G23" s="57">
        <f t="shared" si="9"/>
        <v>0.52</v>
      </c>
      <c r="H23" s="59">
        <f t="shared" si="3"/>
        <v>0.32</v>
      </c>
      <c r="I23" s="60">
        <f t="shared" si="10"/>
        <v>1.9831730769230742E-3</v>
      </c>
      <c r="J23" s="60">
        <f t="shared" si="15"/>
        <v>2.5781249999999995E-2</v>
      </c>
      <c r="K23" s="160">
        <f t="shared" si="11"/>
        <v>25.781249999999996</v>
      </c>
      <c r="L23" s="131">
        <f t="shared" si="12"/>
        <v>0.61538461538461542</v>
      </c>
      <c r="M23" s="58">
        <f t="shared" si="4"/>
        <v>0.56175238095238089</v>
      </c>
      <c r="N23" s="58">
        <f t="shared" si="16"/>
        <v>1.9851562499999972E-2</v>
      </c>
      <c r="O23" s="58">
        <f t="shared" si="14"/>
        <v>10.01</v>
      </c>
      <c r="P23" s="58">
        <f t="shared" si="5"/>
        <v>12.32</v>
      </c>
      <c r="Q23" s="58">
        <f t="shared" si="6"/>
        <v>7.7</v>
      </c>
      <c r="X23" s="62"/>
      <c r="Y23" s="62"/>
    </row>
    <row r="24" spans="1:25">
      <c r="A24" s="58">
        <f t="shared" si="0"/>
        <v>22</v>
      </c>
      <c r="B24" s="61">
        <f t="shared" si="1"/>
        <v>2.9615384615384612</v>
      </c>
      <c r="C24" s="59">
        <f t="shared" si="2"/>
        <v>0.2</v>
      </c>
      <c r="D24" s="64">
        <f>B2</f>
        <v>72.582399999999993</v>
      </c>
      <c r="E24" s="57">
        <f t="shared" si="7"/>
        <v>3.8124088888888883</v>
      </c>
      <c r="F24" s="59">
        <f t="shared" si="8"/>
        <v>0.52</v>
      </c>
      <c r="G24" s="57">
        <f t="shared" si="9"/>
        <v>0.52</v>
      </c>
      <c r="H24" s="59">
        <f t="shared" si="3"/>
        <v>0.32</v>
      </c>
      <c r="I24" s="60">
        <f t="shared" si="10"/>
        <v>1.9831730769230742E-3</v>
      </c>
      <c r="J24" s="60">
        <f t="shared" si="15"/>
        <v>2.7764423076923068E-2</v>
      </c>
      <c r="K24" s="160">
        <f t="shared" si="11"/>
        <v>27.76442307692307</v>
      </c>
      <c r="L24" s="131">
        <f t="shared" si="12"/>
        <v>0.61538461538461542</v>
      </c>
      <c r="M24" s="58">
        <f t="shared" si="4"/>
        <v>0.56873481481481469</v>
      </c>
      <c r="N24" s="58">
        <f t="shared" si="16"/>
        <v>1.9633413461538435E-2</v>
      </c>
      <c r="O24" s="58">
        <f t="shared" si="14"/>
        <v>9.9</v>
      </c>
      <c r="P24" s="58">
        <f t="shared" si="5"/>
        <v>12.184615384615386</v>
      </c>
      <c r="Q24" s="58">
        <f t="shared" si="6"/>
        <v>7.6153846153846168</v>
      </c>
      <c r="X24" s="62" t="s">
        <v>142</v>
      </c>
      <c r="Y24" s="62">
        <f>SQRT(Y18^2+Y22^2)</f>
        <v>0.50990195135927852</v>
      </c>
    </row>
    <row r="25" spans="1:25">
      <c r="A25" s="58">
        <f t="shared" si="0"/>
        <v>22</v>
      </c>
      <c r="B25" s="61">
        <f t="shared" si="1"/>
        <v>3.1730769230769229</v>
      </c>
      <c r="C25" s="59">
        <f t="shared" si="2"/>
        <v>0.2</v>
      </c>
      <c r="D25" s="64">
        <f>B2</f>
        <v>72.582399999999993</v>
      </c>
      <c r="E25" s="57">
        <f t="shared" si="7"/>
        <v>3.8552449438202245</v>
      </c>
      <c r="F25" s="59">
        <f t="shared" si="8"/>
        <v>0.52</v>
      </c>
      <c r="G25" s="57">
        <f t="shared" si="9"/>
        <v>0.52</v>
      </c>
      <c r="H25" s="59">
        <f t="shared" si="3"/>
        <v>0.32</v>
      </c>
      <c r="I25" s="60">
        <f t="shared" si="10"/>
        <v>1.9831730769230781E-3</v>
      </c>
      <c r="J25" s="60">
        <f t="shared" si="15"/>
        <v>2.9747596153846145E-2</v>
      </c>
      <c r="K25" s="160">
        <f t="shared" si="11"/>
        <v>29.747596153846146</v>
      </c>
      <c r="L25" s="131">
        <f t="shared" si="12"/>
        <v>0.61538461538461542</v>
      </c>
      <c r="M25" s="58">
        <f t="shared" si="4"/>
        <v>0.57587415730337077</v>
      </c>
      <c r="N25" s="58">
        <f t="shared" si="16"/>
        <v>1.9415264423076936E-2</v>
      </c>
      <c r="O25" s="58">
        <f t="shared" si="14"/>
        <v>9.7900000000000009</v>
      </c>
      <c r="P25" s="58">
        <f t="shared" si="5"/>
        <v>12.049230769230769</v>
      </c>
      <c r="Q25" s="58">
        <f t="shared" si="6"/>
        <v>7.5307692307692307</v>
      </c>
    </row>
    <row r="26" spans="1:25">
      <c r="A26" s="58">
        <f t="shared" si="0"/>
        <v>22</v>
      </c>
      <c r="B26" s="61">
        <f t="shared" si="1"/>
        <v>3.384615384615385</v>
      </c>
      <c r="C26" s="59">
        <f t="shared" si="2"/>
        <v>0.2</v>
      </c>
      <c r="D26" s="64">
        <f>B2</f>
        <v>72.582399999999993</v>
      </c>
      <c r="E26" s="57">
        <f t="shared" si="7"/>
        <v>3.8990545454545456</v>
      </c>
      <c r="F26" s="59">
        <f t="shared" si="8"/>
        <v>0.52</v>
      </c>
      <c r="G26" s="57">
        <f t="shared" si="9"/>
        <v>0.52</v>
      </c>
      <c r="H26" s="59">
        <f t="shared" si="3"/>
        <v>0.32</v>
      </c>
      <c r="I26" s="60">
        <f t="shared" si="10"/>
        <v>1.9831730769230825E-3</v>
      </c>
      <c r="J26" s="60">
        <f t="shared" si="15"/>
        <v>3.1730769230769229E-2</v>
      </c>
      <c r="K26" s="160">
        <f t="shared" si="11"/>
        <v>31.73076923076923</v>
      </c>
      <c r="L26" s="131">
        <f t="shared" si="12"/>
        <v>0.61538461538461542</v>
      </c>
      <c r="M26" s="58">
        <f t="shared" si="4"/>
        <v>0.58317575757575757</v>
      </c>
      <c r="N26" s="58">
        <f t="shared" si="16"/>
        <v>1.9197115384615437E-2</v>
      </c>
      <c r="O26" s="58">
        <f t="shared" si="14"/>
        <v>9.68</v>
      </c>
      <c r="P26" s="58">
        <f t="shared" si="5"/>
        <v>11.913846153846153</v>
      </c>
      <c r="Q26" s="58">
        <f t="shared" si="6"/>
        <v>7.4461538461538455</v>
      </c>
    </row>
    <row r="27" spans="1:25">
      <c r="A27" s="58">
        <f t="shared" si="0"/>
        <v>22</v>
      </c>
      <c r="B27" s="61">
        <f t="shared" si="1"/>
        <v>3.5961538461538463</v>
      </c>
      <c r="C27" s="59">
        <f t="shared" si="2"/>
        <v>0.2</v>
      </c>
      <c r="D27" s="64">
        <f>B2</f>
        <v>72.582399999999993</v>
      </c>
      <c r="E27" s="57">
        <f t="shared" si="7"/>
        <v>3.9438712643678158</v>
      </c>
      <c r="F27" s="59">
        <f t="shared" si="8"/>
        <v>0.52</v>
      </c>
      <c r="G27" s="57">
        <f t="shared" si="9"/>
        <v>0.52</v>
      </c>
      <c r="H27" s="59">
        <f t="shared" si="3"/>
        <v>0.32</v>
      </c>
      <c r="I27" s="60">
        <f t="shared" si="10"/>
        <v>1.9831730769230742E-3</v>
      </c>
      <c r="J27" s="60">
        <f t="shared" si="15"/>
        <v>3.3713942307692306E-2</v>
      </c>
      <c r="K27" s="160">
        <f t="shared" si="11"/>
        <v>33.713942307692307</v>
      </c>
      <c r="L27" s="131">
        <f t="shared" si="12"/>
        <v>0.61538461538461542</v>
      </c>
      <c r="M27" s="58">
        <f t="shared" si="4"/>
        <v>0.59064521072796927</v>
      </c>
      <c r="N27" s="58">
        <f t="shared" si="16"/>
        <v>1.8978966346153817E-2</v>
      </c>
      <c r="O27" s="58">
        <f t="shared" si="14"/>
        <v>9.57</v>
      </c>
      <c r="P27" s="58">
        <f t="shared" si="5"/>
        <v>11.778461538461539</v>
      </c>
      <c r="Q27" s="58">
        <f t="shared" si="6"/>
        <v>7.361538461538462</v>
      </c>
    </row>
    <row r="28" spans="1:25">
      <c r="A28" s="58">
        <f t="shared" si="0"/>
        <v>22</v>
      </c>
      <c r="B28" s="61">
        <f t="shared" si="1"/>
        <v>3.8076923076923075</v>
      </c>
      <c r="C28" s="59">
        <f t="shared" si="2"/>
        <v>0.2</v>
      </c>
      <c r="D28" s="64">
        <f>B2</f>
        <v>72.582399999999993</v>
      </c>
      <c r="E28" s="57">
        <f t="shared" si="7"/>
        <v>3.9897302325581387</v>
      </c>
      <c r="F28" s="59">
        <f t="shared" si="8"/>
        <v>0.52</v>
      </c>
      <c r="G28" s="57">
        <f t="shared" si="9"/>
        <v>0.52</v>
      </c>
      <c r="H28" s="59">
        <f t="shared" si="3"/>
        <v>0.32</v>
      </c>
      <c r="I28" s="60">
        <f t="shared" si="10"/>
        <v>1.9831730769230742E-3</v>
      </c>
      <c r="J28" s="60">
        <f t="shared" si="15"/>
        <v>3.5697115384615383E-2</v>
      </c>
      <c r="K28" s="160">
        <f t="shared" si="11"/>
        <v>35.69711538461538</v>
      </c>
      <c r="L28" s="131">
        <f t="shared" si="12"/>
        <v>0.61538461538461542</v>
      </c>
      <c r="M28" s="58">
        <f t="shared" si="4"/>
        <v>0.5982883720930231</v>
      </c>
      <c r="N28" s="58">
        <f t="shared" si="16"/>
        <v>1.876081730769228E-2</v>
      </c>
      <c r="O28" s="58">
        <f t="shared" si="14"/>
        <v>9.4600000000000009</v>
      </c>
      <c r="P28" s="58">
        <f t="shared" si="5"/>
        <v>11.643076923076924</v>
      </c>
      <c r="Q28" s="58">
        <f t="shared" si="6"/>
        <v>7.2769230769230777</v>
      </c>
    </row>
    <row r="29" spans="1:25">
      <c r="A29" s="58">
        <f t="shared" si="0"/>
        <v>22</v>
      </c>
      <c r="B29" s="61">
        <f t="shared" si="1"/>
        <v>4.0192307692307692</v>
      </c>
      <c r="C29" s="59">
        <f t="shared" si="2"/>
        <v>0.2</v>
      </c>
      <c r="D29" s="64">
        <f>B2</f>
        <v>72.582399999999993</v>
      </c>
      <c r="E29" s="57">
        <f t="shared" si="7"/>
        <v>4.0366682352941172</v>
      </c>
      <c r="F29" s="59">
        <f t="shared" si="8"/>
        <v>0.52</v>
      </c>
      <c r="G29" s="57">
        <f t="shared" si="9"/>
        <v>0.52</v>
      </c>
      <c r="H29" s="59">
        <f t="shared" si="3"/>
        <v>0.32</v>
      </c>
      <c r="I29" s="60">
        <f t="shared" si="10"/>
        <v>1.9831730769230781E-3</v>
      </c>
      <c r="J29" s="60">
        <f t="shared" si="15"/>
        <v>3.768028846153846E-2</v>
      </c>
      <c r="K29" s="160">
        <f t="shared" si="11"/>
        <v>37.68028846153846</v>
      </c>
      <c r="L29" s="131">
        <f t="shared" si="12"/>
        <v>0.61538461538461542</v>
      </c>
      <c r="M29" s="58">
        <f t="shared" si="4"/>
        <v>0.60611137254901948</v>
      </c>
      <c r="N29" s="58">
        <f t="shared" si="16"/>
        <v>1.8542668269230782E-2</v>
      </c>
      <c r="O29" s="58">
        <f t="shared" si="14"/>
        <v>9.35</v>
      </c>
      <c r="P29" s="58">
        <f t="shared" si="5"/>
        <v>11.507692307692308</v>
      </c>
      <c r="Q29" s="58">
        <f t="shared" si="6"/>
        <v>7.1923076923076925</v>
      </c>
    </row>
    <row r="30" spans="1:25">
      <c r="A30" s="58">
        <f t="shared" si="0"/>
        <v>22</v>
      </c>
      <c r="B30" s="61">
        <f t="shared" si="1"/>
        <v>4.2307692307692308</v>
      </c>
      <c r="C30" s="59">
        <f t="shared" si="2"/>
        <v>0.2</v>
      </c>
      <c r="D30" s="64">
        <f>B2</f>
        <v>72.582399999999993</v>
      </c>
      <c r="E30" s="57">
        <f t="shared" si="7"/>
        <v>4.0847238095238092</v>
      </c>
      <c r="F30" s="59">
        <f t="shared" si="8"/>
        <v>0.52</v>
      </c>
      <c r="G30" s="57">
        <f t="shared" si="9"/>
        <v>0.52</v>
      </c>
      <c r="H30" s="59">
        <f t="shared" si="3"/>
        <v>0.32</v>
      </c>
      <c r="I30" s="60">
        <f t="shared" si="10"/>
        <v>1.9831730769230781E-3</v>
      </c>
      <c r="J30" s="60">
        <f t="shared" si="15"/>
        <v>3.9663461538461536E-2</v>
      </c>
      <c r="K30" s="160">
        <f t="shared" si="11"/>
        <v>39.663461538461533</v>
      </c>
      <c r="L30" s="131">
        <f t="shared" si="12"/>
        <v>0.61538461538461542</v>
      </c>
      <c r="M30" s="58">
        <f t="shared" si="4"/>
        <v>0.61412063492063484</v>
      </c>
      <c r="N30" s="58">
        <f t="shared" si="16"/>
        <v>1.8324519230769245E-2</v>
      </c>
      <c r="O30" s="58">
        <f t="shared" si="14"/>
        <v>9.24</v>
      </c>
      <c r="P30" s="58">
        <f t="shared" si="5"/>
        <v>11.372307692307693</v>
      </c>
      <c r="Q30" s="58">
        <f t="shared" si="6"/>
        <v>7.1076923076923082</v>
      </c>
    </row>
    <row r="31" spans="1:25">
      <c r="A31" s="58">
        <f t="shared" si="0"/>
        <v>22</v>
      </c>
      <c r="B31" s="61">
        <f t="shared" si="1"/>
        <v>4.4423076923076925</v>
      </c>
      <c r="C31" s="59">
        <f t="shared" si="2"/>
        <v>0.2</v>
      </c>
      <c r="D31" s="64">
        <f>B2</f>
        <v>72.582399999999993</v>
      </c>
      <c r="E31" s="57">
        <f t="shared" si="7"/>
        <v>4.1339373493975904</v>
      </c>
      <c r="F31" s="59">
        <f t="shared" si="8"/>
        <v>0.52</v>
      </c>
      <c r="G31" s="57">
        <f t="shared" si="9"/>
        <v>0.52</v>
      </c>
      <c r="H31" s="59">
        <f t="shared" si="3"/>
        <v>0.32</v>
      </c>
      <c r="I31" s="60">
        <f t="shared" si="10"/>
        <v>1.9831730769230781E-3</v>
      </c>
      <c r="J31" s="60">
        <f t="shared" si="15"/>
        <v>4.1646634615384613E-2</v>
      </c>
      <c r="K31" s="160">
        <f t="shared" si="11"/>
        <v>41.646634615384613</v>
      </c>
      <c r="L31" s="131">
        <f t="shared" si="12"/>
        <v>0.61538461538461542</v>
      </c>
      <c r="M31" s="58">
        <f t="shared" si="4"/>
        <v>0.62232289156626508</v>
      </c>
      <c r="N31" s="58">
        <f t="shared" si="16"/>
        <v>1.8106370192307705E-2</v>
      </c>
      <c r="O31" s="58">
        <f t="shared" si="14"/>
        <v>9.129999999999999</v>
      </c>
      <c r="P31" s="58">
        <f t="shared" si="5"/>
        <v>11.236923076923077</v>
      </c>
      <c r="Q31" s="58">
        <f t="shared" si="6"/>
        <v>7.023076923076923</v>
      </c>
    </row>
    <row r="32" spans="1:25">
      <c r="A32" s="58">
        <f t="shared" si="0"/>
        <v>22</v>
      </c>
      <c r="B32" s="61">
        <f t="shared" si="1"/>
        <v>4.6538461538461542</v>
      </c>
      <c r="C32" s="59">
        <f t="shared" si="2"/>
        <v>0.2</v>
      </c>
      <c r="D32" s="64">
        <f>B2</f>
        <v>72.582399999999993</v>
      </c>
      <c r="E32" s="57">
        <f t="shared" si="7"/>
        <v>4.1843512195121946</v>
      </c>
      <c r="F32" s="59">
        <f t="shared" si="8"/>
        <v>0.52</v>
      </c>
      <c r="G32" s="57">
        <f t="shared" si="9"/>
        <v>0.52</v>
      </c>
      <c r="H32" s="59">
        <f t="shared" si="3"/>
        <v>0.32</v>
      </c>
      <c r="I32" s="60">
        <f t="shared" si="10"/>
        <v>1.9831730769230781E-3</v>
      </c>
      <c r="J32" s="60">
        <f t="shared" si="15"/>
        <v>4.362980769230769E-2</v>
      </c>
      <c r="K32" s="160">
        <f t="shared" si="11"/>
        <v>43.629807692307693</v>
      </c>
      <c r="L32" s="131">
        <f t="shared" si="12"/>
        <v>0.61538461538461542</v>
      </c>
      <c r="M32" s="58">
        <f t="shared" si="4"/>
        <v>0.63072520325203241</v>
      </c>
      <c r="N32" s="58">
        <f t="shared" si="16"/>
        <v>1.7888221153846168E-2</v>
      </c>
      <c r="O32" s="58">
        <f t="shared" si="14"/>
        <v>9.0200000000000014</v>
      </c>
      <c r="P32" s="58">
        <f t="shared" si="5"/>
        <v>11.101538461538462</v>
      </c>
      <c r="Q32" s="58">
        <f t="shared" si="6"/>
        <v>6.9384615384615387</v>
      </c>
    </row>
    <row r="33" spans="1:17">
      <c r="A33" s="58">
        <f t="shared" si="0"/>
        <v>22</v>
      </c>
      <c r="B33" s="61">
        <f t="shared" si="1"/>
        <v>4.865384615384615</v>
      </c>
      <c r="C33" s="59">
        <f t="shared" si="2"/>
        <v>0.2</v>
      </c>
      <c r="D33" s="64">
        <f>B2</f>
        <v>72.582399999999993</v>
      </c>
      <c r="E33" s="57">
        <f t="shared" si="7"/>
        <v>4.2360098765432088</v>
      </c>
      <c r="F33" s="59">
        <f t="shared" si="8"/>
        <v>0.52</v>
      </c>
      <c r="G33" s="57">
        <f t="shared" si="9"/>
        <v>0.52</v>
      </c>
      <c r="H33" s="59">
        <f t="shared" si="3"/>
        <v>0.32</v>
      </c>
      <c r="I33" s="60">
        <f t="shared" si="10"/>
        <v>1.9831730769230699E-3</v>
      </c>
      <c r="J33" s="60">
        <f t="shared" si="15"/>
        <v>4.561298076923076E-2</v>
      </c>
      <c r="K33" s="160">
        <f t="shared" si="11"/>
        <v>45.612980769230759</v>
      </c>
      <c r="L33" s="131">
        <f t="shared" si="12"/>
        <v>0.61538461538461542</v>
      </c>
      <c r="M33" s="58">
        <f t="shared" si="4"/>
        <v>0.63933497942386819</v>
      </c>
      <c r="N33" s="58">
        <f t="shared" si="16"/>
        <v>1.7670072115384555E-2</v>
      </c>
      <c r="O33" s="58">
        <f t="shared" si="14"/>
        <v>8.9100000000000019</v>
      </c>
      <c r="P33" s="58">
        <f t="shared" si="5"/>
        <v>10.966153846153848</v>
      </c>
      <c r="Q33" s="58">
        <f t="shared" si="6"/>
        <v>6.8538461538461553</v>
      </c>
    </row>
    <row r="34" spans="1:17">
      <c r="A34" s="58">
        <f t="shared" si="0"/>
        <v>22</v>
      </c>
      <c r="B34" s="61">
        <f t="shared" si="1"/>
        <v>5.0769230769230775</v>
      </c>
      <c r="C34" s="59">
        <f t="shared" si="2"/>
        <v>0.2</v>
      </c>
      <c r="D34" s="64">
        <f>B2</f>
        <v>72.582399999999993</v>
      </c>
      <c r="E34" s="57">
        <f t="shared" si="7"/>
        <v>4.2889599999999994</v>
      </c>
      <c r="F34" s="59">
        <f t="shared" si="8"/>
        <v>0.52</v>
      </c>
      <c r="G34" s="57">
        <f t="shared" si="9"/>
        <v>0.52</v>
      </c>
      <c r="H34" s="59">
        <f t="shared" si="3"/>
        <v>0.32</v>
      </c>
      <c r="I34" s="60">
        <f t="shared" si="10"/>
        <v>1.9831730769230864E-3</v>
      </c>
      <c r="J34" s="60">
        <f t="shared" si="15"/>
        <v>4.7596153846153844E-2</v>
      </c>
      <c r="K34" s="160">
        <f t="shared" si="11"/>
        <v>47.596153846153847</v>
      </c>
      <c r="L34" s="131">
        <f t="shared" si="12"/>
        <v>0.61538461538461542</v>
      </c>
      <c r="M34" s="58">
        <f t="shared" si="4"/>
        <v>0.64815999999999996</v>
      </c>
      <c r="N34" s="58">
        <f t="shared" si="16"/>
        <v>1.7451923076923163E-2</v>
      </c>
      <c r="O34" s="58">
        <f t="shared" si="14"/>
        <v>8.8000000000000007</v>
      </c>
      <c r="P34" s="58">
        <f t="shared" si="5"/>
        <v>10.830769230769231</v>
      </c>
      <c r="Q34" s="58">
        <f t="shared" si="6"/>
        <v>6.7692307692307701</v>
      </c>
    </row>
    <row r="35" spans="1:17">
      <c r="A35" s="58">
        <f t="shared" si="0"/>
        <v>22</v>
      </c>
      <c r="B35" s="61">
        <f t="shared" si="1"/>
        <v>5.2884615384615383</v>
      </c>
      <c r="C35" s="59">
        <f t="shared" si="2"/>
        <v>0.2</v>
      </c>
      <c r="D35" s="64">
        <f>B2</f>
        <v>72.582399999999993</v>
      </c>
      <c r="E35" s="57">
        <f t="shared" si="7"/>
        <v>4.343250632911392</v>
      </c>
      <c r="F35" s="59">
        <f t="shared" si="8"/>
        <v>0.52</v>
      </c>
      <c r="G35" s="57">
        <f t="shared" si="9"/>
        <v>0.52</v>
      </c>
      <c r="H35" s="59">
        <f t="shared" si="3"/>
        <v>0.32</v>
      </c>
      <c r="I35" s="60">
        <f t="shared" si="10"/>
        <v>1.9831730769230699E-3</v>
      </c>
      <c r="J35" s="60">
        <f t="shared" si="15"/>
        <v>4.9579326923076913E-2</v>
      </c>
      <c r="K35" s="160">
        <f t="shared" si="11"/>
        <v>49.579326923076913</v>
      </c>
      <c r="L35" s="131">
        <f t="shared" si="12"/>
        <v>0.61538461538461542</v>
      </c>
      <c r="M35" s="58">
        <f t="shared" si="4"/>
        <v>0.65720843881856528</v>
      </c>
      <c r="N35" s="58">
        <f t="shared" si="16"/>
        <v>1.7233774038461477E-2</v>
      </c>
      <c r="O35" s="58">
        <f t="shared" si="14"/>
        <v>8.69</v>
      </c>
      <c r="P35" s="58">
        <f t="shared" si="5"/>
        <v>10.695384615384615</v>
      </c>
      <c r="Q35" s="58">
        <f t="shared" si="6"/>
        <v>6.684615384615384</v>
      </c>
    </row>
    <row r="36" spans="1:17">
      <c r="A36" s="58">
        <f t="shared" si="0"/>
        <v>22</v>
      </c>
      <c r="B36" s="61">
        <f t="shared" si="1"/>
        <v>5.5</v>
      </c>
      <c r="C36" s="59">
        <f t="shared" si="2"/>
        <v>0.2</v>
      </c>
      <c r="D36" s="64">
        <f>B2</f>
        <v>72.582399999999993</v>
      </c>
      <c r="E36" s="57">
        <f t="shared" si="7"/>
        <v>4.3989333333333329</v>
      </c>
      <c r="F36" s="59">
        <f t="shared" si="8"/>
        <v>0.52</v>
      </c>
      <c r="G36" s="57">
        <f t="shared" si="9"/>
        <v>0.52</v>
      </c>
      <c r="H36" s="59">
        <f t="shared" si="3"/>
        <v>0.32</v>
      </c>
      <c r="I36" s="60">
        <f t="shared" si="10"/>
        <v>1.9831730769230781E-3</v>
      </c>
      <c r="J36" s="60">
        <f t="shared" si="15"/>
        <v>5.156249999999999E-2</v>
      </c>
      <c r="K36" s="160">
        <f t="shared" si="11"/>
        <v>51.562499999999993</v>
      </c>
      <c r="L36" s="131">
        <f t="shared" si="12"/>
        <v>0.61538461538461542</v>
      </c>
      <c r="M36" s="58">
        <f t="shared" si="4"/>
        <v>0.6664888888888888</v>
      </c>
      <c r="N36" s="58">
        <f t="shared" si="16"/>
        <v>1.701562500000001E-2</v>
      </c>
      <c r="O36" s="58">
        <f t="shared" si="14"/>
        <v>8.58</v>
      </c>
      <c r="P36" s="58">
        <f t="shared" si="5"/>
        <v>10.56</v>
      </c>
      <c r="Q36" s="58">
        <f t="shared" si="6"/>
        <v>6.6000000000000005</v>
      </c>
    </row>
    <row r="37" spans="1:17">
      <c r="A37" s="58">
        <f t="shared" si="0"/>
        <v>22</v>
      </c>
      <c r="B37" s="61">
        <f t="shared" si="1"/>
        <v>5.7115384615384617</v>
      </c>
      <c r="C37" s="59">
        <f t="shared" si="2"/>
        <v>0.2</v>
      </c>
      <c r="D37" s="64">
        <f>B2</f>
        <v>72.582399999999993</v>
      </c>
      <c r="E37" s="57">
        <f t="shared" si="7"/>
        <v>4.4560623376623365</v>
      </c>
      <c r="F37" s="59">
        <f t="shared" si="8"/>
        <v>0.52</v>
      </c>
      <c r="G37" s="57">
        <f t="shared" si="9"/>
        <v>0.52</v>
      </c>
      <c r="H37" s="59">
        <f t="shared" si="3"/>
        <v>0.32</v>
      </c>
      <c r="I37" s="60">
        <f t="shared" si="10"/>
        <v>1.9831730769230781E-3</v>
      </c>
      <c r="J37" s="60">
        <f t="shared" si="15"/>
        <v>5.3545673076923067E-2</v>
      </c>
      <c r="K37" s="160">
        <f t="shared" si="11"/>
        <v>53.545673076923066</v>
      </c>
      <c r="L37" s="131">
        <f t="shared" si="12"/>
        <v>0.61538461538461542</v>
      </c>
      <c r="M37" s="58">
        <f t="shared" si="4"/>
        <v>0.67601038961038928</v>
      </c>
      <c r="N37" s="58">
        <f t="shared" si="16"/>
        <v>1.6797475961538473E-2</v>
      </c>
      <c r="O37" s="58">
        <f t="shared" si="14"/>
        <v>8.4700000000000006</v>
      </c>
      <c r="P37" s="58">
        <f t="shared" si="5"/>
        <v>10.424615384615386</v>
      </c>
      <c r="Q37" s="58">
        <f t="shared" si="6"/>
        <v>6.5153846153846162</v>
      </c>
    </row>
    <row r="38" spans="1:17">
      <c r="A38" s="58">
        <f t="shared" si="0"/>
        <v>22</v>
      </c>
      <c r="B38" s="61">
        <f t="shared" si="1"/>
        <v>5.9230769230769225</v>
      </c>
      <c r="C38" s="59">
        <f t="shared" si="2"/>
        <v>0.2</v>
      </c>
      <c r="D38" s="64">
        <f>B2</f>
        <v>72.582399999999993</v>
      </c>
      <c r="E38" s="57">
        <f t="shared" si="7"/>
        <v>4.5146947368421051</v>
      </c>
      <c r="F38" s="59">
        <f t="shared" si="8"/>
        <v>0.52</v>
      </c>
      <c r="G38" s="57">
        <f t="shared" si="9"/>
        <v>0.52</v>
      </c>
      <c r="H38" s="59">
        <f t="shared" si="3"/>
        <v>0.32</v>
      </c>
      <c r="I38" s="60">
        <f t="shared" si="10"/>
        <v>1.9831730769230699E-3</v>
      </c>
      <c r="J38" s="60">
        <f t="shared" si="15"/>
        <v>5.5528846153846137E-2</v>
      </c>
      <c r="K38" s="160">
        <f t="shared" si="11"/>
        <v>55.528846153846139</v>
      </c>
      <c r="L38" s="131">
        <f t="shared" si="12"/>
        <v>0.61538461538461542</v>
      </c>
      <c r="M38" s="58">
        <f t="shared" si="4"/>
        <v>0.68578245614035072</v>
      </c>
      <c r="N38" s="58">
        <f t="shared" si="16"/>
        <v>1.6579326923076863E-2</v>
      </c>
      <c r="O38" s="58">
        <f t="shared" si="14"/>
        <v>8.36</v>
      </c>
      <c r="P38" s="58">
        <f t="shared" si="5"/>
        <v>10.28923076923077</v>
      </c>
      <c r="Q38" s="58">
        <f t="shared" si="6"/>
        <v>6.430769230769231</v>
      </c>
    </row>
    <row r="39" spans="1:17">
      <c r="A39" s="58">
        <f t="shared" si="0"/>
        <v>22</v>
      </c>
      <c r="B39" s="61">
        <f t="shared" si="1"/>
        <v>6.134615384615385</v>
      </c>
      <c r="C39" s="59">
        <f t="shared" si="2"/>
        <v>0.2</v>
      </c>
      <c r="D39" s="64">
        <f>B2</f>
        <v>72.582399999999993</v>
      </c>
      <c r="E39" s="57">
        <f t="shared" si="7"/>
        <v>4.5748906666666667</v>
      </c>
      <c r="F39" s="59">
        <f t="shared" si="8"/>
        <v>0.52</v>
      </c>
      <c r="G39" s="57">
        <f t="shared" si="9"/>
        <v>0.52</v>
      </c>
      <c r="H39" s="59">
        <f t="shared" si="3"/>
        <v>0.32</v>
      </c>
      <c r="I39" s="60">
        <f t="shared" si="10"/>
        <v>1.9831730769230864E-3</v>
      </c>
      <c r="J39" s="60">
        <f t="shared" si="15"/>
        <v>5.7512019230769221E-2</v>
      </c>
      <c r="K39" s="160">
        <f t="shared" si="11"/>
        <v>57.512019230769219</v>
      </c>
      <c r="L39" s="131">
        <f t="shared" si="12"/>
        <v>0.61538461538461542</v>
      </c>
      <c r="M39" s="58">
        <f t="shared" si="4"/>
        <v>0.69581511111111105</v>
      </c>
      <c r="N39" s="58">
        <f t="shared" si="16"/>
        <v>1.6361177884615465E-2</v>
      </c>
      <c r="O39" s="58">
        <f t="shared" si="14"/>
        <v>8.25</v>
      </c>
      <c r="P39" s="58">
        <f t="shared" si="5"/>
        <v>10.153846153846153</v>
      </c>
      <c r="Q39" s="58">
        <f t="shared" si="6"/>
        <v>6.3461538461538467</v>
      </c>
    </row>
    <row r="40" spans="1:17">
      <c r="A40" s="58">
        <f t="shared" si="0"/>
        <v>22</v>
      </c>
      <c r="B40" s="61">
        <f t="shared" si="1"/>
        <v>6.3461538461538458</v>
      </c>
      <c r="C40" s="59">
        <f t="shared" si="2"/>
        <v>0.2</v>
      </c>
      <c r="D40" s="64">
        <f>B2</f>
        <v>72.582399999999993</v>
      </c>
      <c r="E40" s="57">
        <f t="shared" si="7"/>
        <v>4.6367135135135129</v>
      </c>
      <c r="F40" s="59">
        <f t="shared" si="8"/>
        <v>0.52</v>
      </c>
      <c r="G40" s="57">
        <f t="shared" si="9"/>
        <v>0.52</v>
      </c>
      <c r="H40" s="59">
        <f t="shared" si="3"/>
        <v>0.32</v>
      </c>
      <c r="I40" s="60">
        <f t="shared" si="10"/>
        <v>1.9831730769230699E-3</v>
      </c>
      <c r="J40" s="60">
        <f t="shared" si="15"/>
        <v>5.9495192307692291E-2</v>
      </c>
      <c r="K40" s="160">
        <f t="shared" si="11"/>
        <v>59.495192307692292</v>
      </c>
      <c r="L40" s="131">
        <f t="shared" si="12"/>
        <v>0.61538461538461542</v>
      </c>
      <c r="M40" s="58">
        <f t="shared" si="4"/>
        <v>0.70611891891891876</v>
      </c>
      <c r="N40" s="58">
        <f t="shared" si="16"/>
        <v>1.614302884615379E-2</v>
      </c>
      <c r="O40" s="58">
        <f t="shared" si="14"/>
        <v>8.14</v>
      </c>
      <c r="P40" s="58">
        <f t="shared" si="5"/>
        <v>10.018461538461539</v>
      </c>
      <c r="Q40" s="58">
        <f t="shared" si="6"/>
        <v>6.2615384615384615</v>
      </c>
    </row>
    <row r="41" spans="1:17">
      <c r="A41" s="58">
        <f t="shared" si="0"/>
        <v>22</v>
      </c>
      <c r="B41" s="61">
        <f t="shared" si="1"/>
        <v>6.5576923076923075</v>
      </c>
      <c r="C41" s="59">
        <f t="shared" si="2"/>
        <v>0.2</v>
      </c>
      <c r="D41" s="64">
        <f>B2</f>
        <v>72.582399999999993</v>
      </c>
      <c r="E41" s="57">
        <f t="shared" si="7"/>
        <v>4.7002301369863009</v>
      </c>
      <c r="F41" s="59">
        <f t="shared" si="8"/>
        <v>0.52</v>
      </c>
      <c r="G41" s="57">
        <f t="shared" si="9"/>
        <v>0.52</v>
      </c>
      <c r="H41" s="59">
        <f t="shared" si="3"/>
        <v>0.32</v>
      </c>
      <c r="I41" s="60">
        <f t="shared" si="10"/>
        <v>1.9831730769230781E-3</v>
      </c>
      <c r="J41" s="60">
        <f t="shared" si="15"/>
        <v>6.1478365384615367E-2</v>
      </c>
      <c r="K41" s="160">
        <f t="shared" si="11"/>
        <v>61.478365384615365</v>
      </c>
      <c r="L41" s="131">
        <f t="shared" si="12"/>
        <v>0.61538461538461542</v>
      </c>
      <c r="M41" s="58">
        <f t="shared" si="4"/>
        <v>0.71670502283105009</v>
      </c>
      <c r="N41" s="58">
        <f t="shared" si="16"/>
        <v>1.5924879807692319E-2</v>
      </c>
      <c r="O41" s="58">
        <f t="shared" si="14"/>
        <v>8.0300000000000011</v>
      </c>
      <c r="P41" s="58">
        <f t="shared" si="5"/>
        <v>9.8830769230769242</v>
      </c>
      <c r="Q41" s="58">
        <f t="shared" si="6"/>
        <v>6.1769230769230781</v>
      </c>
    </row>
    <row r="42" spans="1:17">
      <c r="A42" s="58">
        <f t="shared" ref="A42:A73" si="17">VINMAX</f>
        <v>22</v>
      </c>
      <c r="B42" s="61">
        <f t="shared" ref="B42:B73" si="18">VINMAX*((ROW()-10)/104)</f>
        <v>6.7692307692307701</v>
      </c>
      <c r="C42" s="59">
        <f t="shared" ref="C42:C73" si="19">IF(B42&gt;=$H$2,IF($D$2="CC", $G$2, B42/$G$2), 0)</f>
        <v>0.2</v>
      </c>
      <c r="D42" s="64">
        <f>B2</f>
        <v>72.582399999999993</v>
      </c>
      <c r="E42" s="57">
        <f t="shared" si="7"/>
        <v>4.7655111111111106</v>
      </c>
      <c r="F42" s="59">
        <f t="shared" ref="F42:F73" si="20">I_Cout_ss+C42</f>
        <v>0.52</v>
      </c>
      <c r="G42" s="57">
        <f t="shared" si="9"/>
        <v>0.52</v>
      </c>
      <c r="H42" s="59">
        <f t="shared" ref="H42:H73" si="21">G42-C42</f>
        <v>0.32</v>
      </c>
      <c r="I42" s="60">
        <f t="shared" si="10"/>
        <v>1.9831730769230864E-3</v>
      </c>
      <c r="J42" s="60">
        <f t="shared" si="15"/>
        <v>6.3461538461538458E-2</v>
      </c>
      <c r="K42" s="160">
        <f t="shared" si="11"/>
        <v>63.46153846153846</v>
      </c>
      <c r="L42" s="131">
        <f t="shared" si="12"/>
        <v>0.61538461538461542</v>
      </c>
      <c r="M42" s="58">
        <f t="shared" ref="M42:M73" si="22">1/COUTMAX*(E42/2-C42)*1000</f>
        <v>0.727585185185185</v>
      </c>
      <c r="N42" s="58">
        <f t="shared" si="16"/>
        <v>1.5706730769230844E-2</v>
      </c>
      <c r="O42" s="58">
        <f t="shared" si="14"/>
        <v>7.92</v>
      </c>
      <c r="P42" s="58">
        <f t="shared" ref="P42:P73" si="23">(A42-B42)*(I_Cout_ss*$Q$2+C42)</f>
        <v>9.7476923076923079</v>
      </c>
      <c r="Q42" s="58">
        <f t="shared" ref="Q42:Q73" si="24">(A42-B42)*(I_Cout_ss*$R$2+C42)</f>
        <v>6.092307692307692</v>
      </c>
    </row>
    <row r="43" spans="1:17">
      <c r="A43" s="58">
        <f t="shared" si="17"/>
        <v>22</v>
      </c>
      <c r="B43" s="61">
        <f t="shared" si="18"/>
        <v>6.9807692307692299</v>
      </c>
      <c r="C43" s="59">
        <f t="shared" si="19"/>
        <v>0.2</v>
      </c>
      <c r="D43" s="64">
        <f>B2</f>
        <v>72.582399999999993</v>
      </c>
      <c r="E43" s="57">
        <f t="shared" si="7"/>
        <v>4.8326309859154923</v>
      </c>
      <c r="F43" s="59">
        <f t="shared" si="20"/>
        <v>0.52</v>
      </c>
      <c r="G43" s="57">
        <f t="shared" si="9"/>
        <v>0.52</v>
      </c>
      <c r="H43" s="59">
        <f t="shared" si="21"/>
        <v>0.32</v>
      </c>
      <c r="I43" s="60">
        <f t="shared" ref="I43:I74" si="25">(COUTMAX/1000000)*(B43-B42)/H43</f>
        <v>1.9831730769230616E-3</v>
      </c>
      <c r="J43" s="60">
        <f t="shared" si="15"/>
        <v>6.5444711538461514E-2</v>
      </c>
      <c r="K43" s="160">
        <f t="shared" si="11"/>
        <v>65.444711538461519</v>
      </c>
      <c r="L43" s="131">
        <f t="shared" si="12"/>
        <v>0.61538461538461542</v>
      </c>
      <c r="M43" s="58">
        <f t="shared" si="22"/>
        <v>0.73877183098591537</v>
      </c>
      <c r="N43" s="58">
        <f t="shared" si="16"/>
        <v>1.5488581730769111E-2</v>
      </c>
      <c r="O43" s="58">
        <f t="shared" si="14"/>
        <v>7.8100000000000005</v>
      </c>
      <c r="P43" s="58">
        <f t="shared" si="23"/>
        <v>9.6123076923076933</v>
      </c>
      <c r="Q43" s="58">
        <f t="shared" si="24"/>
        <v>6.0076923076923086</v>
      </c>
    </row>
    <row r="44" spans="1:17">
      <c r="A44" s="58">
        <f t="shared" si="17"/>
        <v>22</v>
      </c>
      <c r="B44" s="61">
        <f t="shared" si="18"/>
        <v>7.1923076923076925</v>
      </c>
      <c r="C44" s="59">
        <f t="shared" si="19"/>
        <v>0.2</v>
      </c>
      <c r="D44" s="64">
        <f>B2</f>
        <v>72.582399999999993</v>
      </c>
      <c r="E44" s="57">
        <f t="shared" si="7"/>
        <v>4.901668571428571</v>
      </c>
      <c r="F44" s="59">
        <f t="shared" si="20"/>
        <v>0.52</v>
      </c>
      <c r="G44" s="57">
        <f t="shared" si="9"/>
        <v>0.52</v>
      </c>
      <c r="H44" s="59">
        <f t="shared" si="21"/>
        <v>0.32</v>
      </c>
      <c r="I44" s="60">
        <f t="shared" si="25"/>
        <v>1.9831730769230864E-3</v>
      </c>
      <c r="J44" s="60">
        <f t="shared" si="15"/>
        <v>6.7427884615384598E-2</v>
      </c>
      <c r="K44" s="160">
        <f t="shared" si="11"/>
        <v>67.427884615384599</v>
      </c>
      <c r="L44" s="131">
        <f t="shared" si="12"/>
        <v>0.61538461538461542</v>
      </c>
      <c r="M44" s="58">
        <f t="shared" si="22"/>
        <v>0.75027809523809519</v>
      </c>
      <c r="N44" s="58">
        <f t="shared" si="16"/>
        <v>1.5270432692307765E-2</v>
      </c>
      <c r="O44" s="58">
        <f t="shared" si="14"/>
        <v>7.6999999999999993</v>
      </c>
      <c r="P44" s="58">
        <f t="shared" si="23"/>
        <v>9.476923076923077</v>
      </c>
      <c r="Q44" s="58">
        <f t="shared" si="24"/>
        <v>5.9230769230769234</v>
      </c>
    </row>
    <row r="45" spans="1:17">
      <c r="A45" s="58">
        <f t="shared" si="17"/>
        <v>22</v>
      </c>
      <c r="B45" s="61">
        <f t="shared" si="18"/>
        <v>7.4038461538461542</v>
      </c>
      <c r="C45" s="59">
        <f t="shared" si="19"/>
        <v>0.2</v>
      </c>
      <c r="D45" s="64">
        <f>B2</f>
        <v>72.582399999999993</v>
      </c>
      <c r="E45" s="57">
        <f t="shared" si="7"/>
        <v>4.9727072463768112</v>
      </c>
      <c r="F45" s="59">
        <f t="shared" si="20"/>
        <v>0.52</v>
      </c>
      <c r="G45" s="57">
        <f t="shared" si="9"/>
        <v>0.52</v>
      </c>
      <c r="H45" s="59">
        <f t="shared" si="21"/>
        <v>0.32</v>
      </c>
      <c r="I45" s="60">
        <f t="shared" si="25"/>
        <v>1.9831730769230781E-3</v>
      </c>
      <c r="J45" s="60">
        <f t="shared" si="15"/>
        <v>6.9411057692307682E-2</v>
      </c>
      <c r="K45" s="160">
        <f t="shared" si="11"/>
        <v>69.411057692307679</v>
      </c>
      <c r="L45" s="131">
        <f t="shared" si="12"/>
        <v>0.61538461538461542</v>
      </c>
      <c r="M45" s="58">
        <f t="shared" si="22"/>
        <v>0.7621178743961351</v>
      </c>
      <c r="N45" s="58">
        <f t="shared" si="16"/>
        <v>1.5052283653846164E-2</v>
      </c>
      <c r="O45" s="58">
        <f t="shared" si="14"/>
        <v>7.5900000000000007</v>
      </c>
      <c r="P45" s="58">
        <f t="shared" si="23"/>
        <v>9.3415384615384625</v>
      </c>
      <c r="Q45" s="58">
        <f t="shared" si="24"/>
        <v>5.838461538461539</v>
      </c>
    </row>
    <row r="46" spans="1:17">
      <c r="A46" s="58">
        <f t="shared" si="17"/>
        <v>22</v>
      </c>
      <c r="B46" s="61">
        <f t="shared" si="18"/>
        <v>7.615384615384615</v>
      </c>
      <c r="C46" s="59">
        <f t="shared" si="19"/>
        <v>0.2</v>
      </c>
      <c r="D46" s="64">
        <f>B2</f>
        <v>72.582399999999993</v>
      </c>
      <c r="E46" s="57">
        <f t="shared" si="7"/>
        <v>5.0458352941176461</v>
      </c>
      <c r="F46" s="59">
        <f t="shared" si="20"/>
        <v>0.52</v>
      </c>
      <c r="G46" s="57">
        <f t="shared" si="9"/>
        <v>0.52</v>
      </c>
      <c r="H46" s="59">
        <f t="shared" si="21"/>
        <v>0.32</v>
      </c>
      <c r="I46" s="60">
        <f t="shared" si="25"/>
        <v>1.9831730769230699E-3</v>
      </c>
      <c r="J46" s="60">
        <f t="shared" si="15"/>
        <v>7.1394230769230752E-2</v>
      </c>
      <c r="K46" s="160">
        <f t="shared" si="11"/>
        <v>71.394230769230745</v>
      </c>
      <c r="L46" s="131">
        <f t="shared" si="12"/>
        <v>0.61538461538461542</v>
      </c>
      <c r="M46" s="58">
        <f t="shared" si="22"/>
        <v>0.77430588235294096</v>
      </c>
      <c r="N46" s="58">
        <f t="shared" si="16"/>
        <v>1.4834134615384563E-2</v>
      </c>
      <c r="O46" s="58">
        <f t="shared" si="14"/>
        <v>7.48</v>
      </c>
      <c r="P46" s="58">
        <f t="shared" si="23"/>
        <v>9.2061538461538461</v>
      </c>
      <c r="Q46" s="58">
        <f t="shared" si="24"/>
        <v>5.7538461538461547</v>
      </c>
    </row>
    <row r="47" spans="1:17">
      <c r="A47" s="58">
        <f t="shared" si="17"/>
        <v>22</v>
      </c>
      <c r="B47" s="61">
        <f t="shared" si="18"/>
        <v>7.8269230769230775</v>
      </c>
      <c r="C47" s="59">
        <f t="shared" si="19"/>
        <v>0.2</v>
      </c>
      <c r="D47" s="64">
        <f>B2</f>
        <v>72.582399999999993</v>
      </c>
      <c r="E47" s="57">
        <f t="shared" si="7"/>
        <v>5.121146268656716</v>
      </c>
      <c r="F47" s="59">
        <f t="shared" si="20"/>
        <v>0.52</v>
      </c>
      <c r="G47" s="57">
        <f t="shared" si="9"/>
        <v>0.52</v>
      </c>
      <c r="H47" s="59">
        <f t="shared" si="21"/>
        <v>0.32</v>
      </c>
      <c r="I47" s="60">
        <f t="shared" si="25"/>
        <v>1.9831730769230864E-3</v>
      </c>
      <c r="J47" s="60">
        <f t="shared" si="15"/>
        <v>7.3377403846153835E-2</v>
      </c>
      <c r="K47" s="160">
        <f t="shared" si="11"/>
        <v>73.37740384615384</v>
      </c>
      <c r="L47" s="131">
        <f t="shared" si="12"/>
        <v>0.61538461538461542</v>
      </c>
      <c r="M47" s="58">
        <f t="shared" si="22"/>
        <v>0.78685771144278593</v>
      </c>
      <c r="N47" s="58">
        <f t="shared" si="16"/>
        <v>1.4615985576923148E-2</v>
      </c>
      <c r="O47" s="58">
        <f t="shared" si="14"/>
        <v>7.37</v>
      </c>
      <c r="P47" s="58">
        <f t="shared" si="23"/>
        <v>9.0707692307692316</v>
      </c>
      <c r="Q47" s="58">
        <f t="shared" si="24"/>
        <v>5.6692307692307695</v>
      </c>
    </row>
    <row r="48" spans="1:17">
      <c r="A48" s="58">
        <f t="shared" si="17"/>
        <v>22</v>
      </c>
      <c r="B48" s="61">
        <f t="shared" si="18"/>
        <v>8.0384615384615383</v>
      </c>
      <c r="C48" s="59">
        <f t="shared" si="19"/>
        <v>0.2</v>
      </c>
      <c r="D48" s="64">
        <f>B2</f>
        <v>72.582399999999993</v>
      </c>
      <c r="E48" s="57">
        <f t="shared" si="7"/>
        <v>5.1987393939393938</v>
      </c>
      <c r="F48" s="59">
        <f t="shared" si="20"/>
        <v>0.52</v>
      </c>
      <c r="G48" s="57">
        <f t="shared" si="9"/>
        <v>0.52</v>
      </c>
      <c r="H48" s="59">
        <f t="shared" si="21"/>
        <v>0.32</v>
      </c>
      <c r="I48" s="60">
        <f t="shared" si="25"/>
        <v>1.9831730769230699E-3</v>
      </c>
      <c r="J48" s="60">
        <f t="shared" si="15"/>
        <v>7.5360576923076905E-2</v>
      </c>
      <c r="K48" s="160">
        <f t="shared" si="11"/>
        <v>75.360576923076906</v>
      </c>
      <c r="L48" s="131">
        <f t="shared" si="12"/>
        <v>0.61538461538461542</v>
      </c>
      <c r="M48" s="58">
        <f t="shared" si="22"/>
        <v>0.79978989898989883</v>
      </c>
      <c r="N48" s="58">
        <f t="shared" si="16"/>
        <v>1.4397836538461488E-2</v>
      </c>
      <c r="O48" s="58">
        <f t="shared" si="14"/>
        <v>7.2600000000000007</v>
      </c>
      <c r="P48" s="58">
        <f t="shared" si="23"/>
        <v>8.9353846153846153</v>
      </c>
      <c r="Q48" s="58">
        <f t="shared" si="24"/>
        <v>5.5846153846153852</v>
      </c>
    </row>
    <row r="49" spans="1:17">
      <c r="A49" s="58">
        <f t="shared" si="17"/>
        <v>22</v>
      </c>
      <c r="B49" s="61">
        <f t="shared" si="18"/>
        <v>8.25</v>
      </c>
      <c r="C49" s="59">
        <f t="shared" si="19"/>
        <v>0.2</v>
      </c>
      <c r="D49" s="64">
        <f>B2</f>
        <v>72.582399999999993</v>
      </c>
      <c r="E49" s="57">
        <f t="shared" si="7"/>
        <v>5.2787199999999999</v>
      </c>
      <c r="F49" s="59">
        <f t="shared" si="20"/>
        <v>0.52</v>
      </c>
      <c r="G49" s="57">
        <f t="shared" si="9"/>
        <v>0.52</v>
      </c>
      <c r="H49" s="59">
        <f t="shared" si="21"/>
        <v>0.32</v>
      </c>
      <c r="I49" s="60">
        <f t="shared" si="25"/>
        <v>1.9831730769230781E-3</v>
      </c>
      <c r="J49" s="60">
        <f t="shared" si="15"/>
        <v>7.7343749999999989E-2</v>
      </c>
      <c r="K49" s="160">
        <f t="shared" si="11"/>
        <v>77.343749999999986</v>
      </c>
      <c r="L49" s="131">
        <f t="shared" si="12"/>
        <v>0.61538461538461542</v>
      </c>
      <c r="M49" s="58">
        <f t="shared" si="22"/>
        <v>0.81311999999999984</v>
      </c>
      <c r="N49" s="58">
        <f t="shared" si="16"/>
        <v>1.417968750000001E-2</v>
      </c>
      <c r="O49" s="58">
        <f t="shared" si="14"/>
        <v>7.15</v>
      </c>
      <c r="P49" s="58">
        <f t="shared" si="23"/>
        <v>8.8000000000000007</v>
      </c>
      <c r="Q49" s="58">
        <f t="shared" si="24"/>
        <v>5.5</v>
      </c>
    </row>
    <row r="50" spans="1:17">
      <c r="A50" s="58">
        <f t="shared" si="17"/>
        <v>22</v>
      </c>
      <c r="B50" s="61">
        <f t="shared" si="18"/>
        <v>8.4615384615384617</v>
      </c>
      <c r="C50" s="59">
        <f t="shared" si="19"/>
        <v>0.2</v>
      </c>
      <c r="D50" s="64">
        <f>B2</f>
        <v>72.582399999999993</v>
      </c>
      <c r="E50" s="57">
        <f t="shared" si="7"/>
        <v>5.3611999999999993</v>
      </c>
      <c r="F50" s="59">
        <f t="shared" si="20"/>
        <v>0.52</v>
      </c>
      <c r="G50" s="57">
        <f t="shared" si="9"/>
        <v>0.52</v>
      </c>
      <c r="H50" s="59">
        <f t="shared" si="21"/>
        <v>0.32</v>
      </c>
      <c r="I50" s="60">
        <f t="shared" si="25"/>
        <v>1.9831730769230781E-3</v>
      </c>
      <c r="J50" s="60">
        <f t="shared" si="15"/>
        <v>7.9326923076923073E-2</v>
      </c>
      <c r="K50" s="160">
        <f t="shared" si="11"/>
        <v>79.326923076923066</v>
      </c>
      <c r="L50" s="131">
        <f t="shared" si="12"/>
        <v>0.61538461538461542</v>
      </c>
      <c r="M50" s="58">
        <f t="shared" si="22"/>
        <v>0.82686666666666642</v>
      </c>
      <c r="N50" s="58">
        <f t="shared" si="16"/>
        <v>1.3961538461538471E-2</v>
      </c>
      <c r="O50" s="58">
        <f t="shared" si="14"/>
        <v>7.04</v>
      </c>
      <c r="P50" s="58">
        <f t="shared" si="23"/>
        <v>8.6646153846153844</v>
      </c>
      <c r="Q50" s="58">
        <f t="shared" si="24"/>
        <v>5.4153846153846157</v>
      </c>
    </row>
    <row r="51" spans="1:17">
      <c r="A51" s="58">
        <f t="shared" si="17"/>
        <v>22</v>
      </c>
      <c r="B51" s="61">
        <f t="shared" si="18"/>
        <v>8.6730769230769234</v>
      </c>
      <c r="C51" s="59">
        <f t="shared" si="19"/>
        <v>0.2</v>
      </c>
      <c r="D51" s="64">
        <f>B2</f>
        <v>72.582399999999993</v>
      </c>
      <c r="E51" s="57">
        <f t="shared" si="7"/>
        <v>5.446298412698412</v>
      </c>
      <c r="F51" s="59">
        <f t="shared" si="20"/>
        <v>0.52</v>
      </c>
      <c r="G51" s="57">
        <f t="shared" si="9"/>
        <v>0.52</v>
      </c>
      <c r="H51" s="59">
        <f t="shared" si="21"/>
        <v>0.32</v>
      </c>
      <c r="I51" s="60">
        <f t="shared" si="25"/>
        <v>1.9831730769230781E-3</v>
      </c>
      <c r="J51" s="60">
        <f t="shared" si="15"/>
        <v>8.1310096153846156E-2</v>
      </c>
      <c r="K51" s="160">
        <f t="shared" si="11"/>
        <v>81.31009615384616</v>
      </c>
      <c r="L51" s="131">
        <f t="shared" si="12"/>
        <v>0.61538461538461542</v>
      </c>
      <c r="M51" s="58">
        <f t="shared" si="22"/>
        <v>0.84104973544973527</v>
      </c>
      <c r="N51" s="58">
        <f t="shared" si="16"/>
        <v>1.3743389423076933E-2</v>
      </c>
      <c r="O51" s="58">
        <f t="shared" si="14"/>
        <v>6.93</v>
      </c>
      <c r="P51" s="58">
        <f t="shared" si="23"/>
        <v>8.5292307692307698</v>
      </c>
      <c r="Q51" s="58">
        <f t="shared" si="24"/>
        <v>5.3307692307692314</v>
      </c>
    </row>
    <row r="52" spans="1:17">
      <c r="A52" s="58">
        <f t="shared" si="17"/>
        <v>22</v>
      </c>
      <c r="B52" s="61">
        <f t="shared" si="18"/>
        <v>8.884615384615385</v>
      </c>
      <c r="C52" s="59">
        <f t="shared" si="19"/>
        <v>0.2</v>
      </c>
      <c r="D52" s="64">
        <f>B2</f>
        <v>72.582399999999993</v>
      </c>
      <c r="E52" s="57">
        <f t="shared" si="7"/>
        <v>5.5341419354838708</v>
      </c>
      <c r="F52" s="59">
        <f t="shared" si="20"/>
        <v>0.52</v>
      </c>
      <c r="G52" s="57">
        <f t="shared" si="9"/>
        <v>0.52</v>
      </c>
      <c r="H52" s="59">
        <f t="shared" si="21"/>
        <v>0.32</v>
      </c>
      <c r="I52" s="60">
        <f t="shared" si="25"/>
        <v>1.9831730769230781E-3</v>
      </c>
      <c r="J52" s="60">
        <f t="shared" si="15"/>
        <v>8.329326923076924E-2</v>
      </c>
      <c r="K52" s="160">
        <f t="shared" si="11"/>
        <v>83.293269230769241</v>
      </c>
      <c r="L52" s="131">
        <f t="shared" si="12"/>
        <v>0.61538461538461542</v>
      </c>
      <c r="M52" s="58">
        <f t="shared" si="22"/>
        <v>0.85569032258064504</v>
      </c>
      <c r="N52" s="58">
        <f t="shared" si="16"/>
        <v>1.3525240384615394E-2</v>
      </c>
      <c r="O52" s="58">
        <f t="shared" si="14"/>
        <v>6.82</v>
      </c>
      <c r="P52" s="58">
        <f t="shared" si="23"/>
        <v>8.3938461538461535</v>
      </c>
      <c r="Q52" s="58">
        <f t="shared" si="24"/>
        <v>5.2461538461538462</v>
      </c>
    </row>
    <row r="53" spans="1:17">
      <c r="A53" s="58">
        <f t="shared" si="17"/>
        <v>22</v>
      </c>
      <c r="B53" s="61">
        <f t="shared" si="18"/>
        <v>9.0961538461538449</v>
      </c>
      <c r="C53" s="59">
        <f t="shared" si="19"/>
        <v>0.2</v>
      </c>
      <c r="D53" s="64">
        <f>B2</f>
        <v>72.582399999999993</v>
      </c>
      <c r="E53" s="57">
        <f t="shared" si="7"/>
        <v>5.6248655737704905</v>
      </c>
      <c r="F53" s="59">
        <f t="shared" si="20"/>
        <v>0.52</v>
      </c>
      <c r="G53" s="57">
        <f t="shared" si="9"/>
        <v>0.52</v>
      </c>
      <c r="H53" s="59">
        <f t="shared" si="21"/>
        <v>0.32</v>
      </c>
      <c r="I53" s="60">
        <f t="shared" si="25"/>
        <v>1.9831730769230616E-3</v>
      </c>
      <c r="J53" s="60">
        <f t="shared" si="15"/>
        <v>8.5276442307692296E-2</v>
      </c>
      <c r="K53" s="160">
        <f t="shared" si="11"/>
        <v>85.276442307692292</v>
      </c>
      <c r="L53" s="131">
        <f t="shared" si="12"/>
        <v>0.61538461538461542</v>
      </c>
      <c r="M53" s="58">
        <f t="shared" si="22"/>
        <v>0.87081092896174828</v>
      </c>
      <c r="N53" s="58">
        <f t="shared" si="16"/>
        <v>1.3307091346153745E-2</v>
      </c>
      <c r="O53" s="58">
        <f t="shared" si="14"/>
        <v>6.7100000000000009</v>
      </c>
      <c r="P53" s="58">
        <f t="shared" si="23"/>
        <v>8.258461538461539</v>
      </c>
      <c r="Q53" s="58">
        <f t="shared" si="24"/>
        <v>5.1615384615384627</v>
      </c>
    </row>
    <row r="54" spans="1:17">
      <c r="A54" s="58">
        <f t="shared" si="17"/>
        <v>22</v>
      </c>
      <c r="B54" s="61">
        <f t="shared" si="18"/>
        <v>9.3076923076923084</v>
      </c>
      <c r="C54" s="59">
        <f t="shared" si="19"/>
        <v>0.2</v>
      </c>
      <c r="D54" s="64">
        <f>B2</f>
        <v>72.582399999999993</v>
      </c>
      <c r="E54" s="57">
        <f t="shared" si="7"/>
        <v>5.7186133333333329</v>
      </c>
      <c r="F54" s="59">
        <f t="shared" si="20"/>
        <v>0.52</v>
      </c>
      <c r="G54" s="57">
        <f t="shared" si="9"/>
        <v>0.52</v>
      </c>
      <c r="H54" s="59">
        <f t="shared" si="21"/>
        <v>0.32</v>
      </c>
      <c r="I54" s="60">
        <f t="shared" si="25"/>
        <v>1.983173076923095E-3</v>
      </c>
      <c r="J54" s="60">
        <f t="shared" si="15"/>
        <v>8.7259615384615394E-2</v>
      </c>
      <c r="K54" s="160">
        <f t="shared" si="11"/>
        <v>87.259615384615387</v>
      </c>
      <c r="L54" s="131">
        <f t="shared" si="12"/>
        <v>0.61538461538461542</v>
      </c>
      <c r="M54" s="58">
        <f t="shared" si="22"/>
        <v>0.88643555555555542</v>
      </c>
      <c r="N54" s="58">
        <f t="shared" si="16"/>
        <v>1.3088942307692426E-2</v>
      </c>
      <c r="O54" s="58">
        <f t="shared" si="14"/>
        <v>6.6</v>
      </c>
      <c r="P54" s="58">
        <f t="shared" si="23"/>
        <v>8.1230769230769226</v>
      </c>
      <c r="Q54" s="58">
        <f t="shared" si="24"/>
        <v>5.0769230769230766</v>
      </c>
    </row>
    <row r="55" spans="1:17">
      <c r="A55" s="58">
        <f t="shared" si="17"/>
        <v>22</v>
      </c>
      <c r="B55" s="61">
        <f t="shared" si="18"/>
        <v>9.5192307692307701</v>
      </c>
      <c r="C55" s="59">
        <f t="shared" si="19"/>
        <v>0.2</v>
      </c>
      <c r="D55" s="64">
        <f>B2</f>
        <v>72.582399999999993</v>
      </c>
      <c r="E55" s="57">
        <f t="shared" si="7"/>
        <v>5.815538983050847</v>
      </c>
      <c r="F55" s="59">
        <f t="shared" si="20"/>
        <v>0.52</v>
      </c>
      <c r="G55" s="57">
        <f t="shared" si="9"/>
        <v>0.52</v>
      </c>
      <c r="H55" s="59">
        <f t="shared" si="21"/>
        <v>0.32</v>
      </c>
      <c r="I55" s="60">
        <f t="shared" si="25"/>
        <v>1.9831730769230781E-3</v>
      </c>
      <c r="J55" s="60">
        <f t="shared" si="15"/>
        <v>8.9242788461538478E-2</v>
      </c>
      <c r="K55" s="160">
        <f t="shared" si="11"/>
        <v>89.242788461538481</v>
      </c>
      <c r="L55" s="131">
        <f t="shared" si="12"/>
        <v>0.61538461538461542</v>
      </c>
      <c r="M55" s="58">
        <f t="shared" si="22"/>
        <v>0.90258983050847441</v>
      </c>
      <c r="N55" s="58">
        <f t="shared" si="16"/>
        <v>1.2870793269230777E-2</v>
      </c>
      <c r="O55" s="58">
        <f t="shared" si="14"/>
        <v>6.49</v>
      </c>
      <c r="P55" s="58">
        <f t="shared" si="23"/>
        <v>7.9876923076923072</v>
      </c>
      <c r="Q55" s="58">
        <f t="shared" si="24"/>
        <v>4.9923076923076923</v>
      </c>
    </row>
    <row r="56" spans="1:17">
      <c r="A56" s="58">
        <f t="shared" si="17"/>
        <v>22</v>
      </c>
      <c r="B56" s="61">
        <f t="shared" si="18"/>
        <v>9.7307692307692299</v>
      </c>
      <c r="C56" s="59">
        <f t="shared" si="19"/>
        <v>0.2</v>
      </c>
      <c r="D56" s="64">
        <f>B2</f>
        <v>72.582399999999993</v>
      </c>
      <c r="E56" s="57">
        <f t="shared" si="7"/>
        <v>5.9158068965517234</v>
      </c>
      <c r="F56" s="59">
        <f t="shared" si="20"/>
        <v>0.52</v>
      </c>
      <c r="G56" s="57">
        <f t="shared" si="9"/>
        <v>0.52</v>
      </c>
      <c r="H56" s="59">
        <f t="shared" si="21"/>
        <v>0.32</v>
      </c>
      <c r="I56" s="60">
        <f t="shared" si="25"/>
        <v>1.9831730769230616E-3</v>
      </c>
      <c r="J56" s="60">
        <f t="shared" si="15"/>
        <v>9.1225961538461534E-2</v>
      </c>
      <c r="K56" s="160">
        <f t="shared" si="11"/>
        <v>91.225961538461533</v>
      </c>
      <c r="L56" s="131">
        <f t="shared" si="12"/>
        <v>0.61538461538461542</v>
      </c>
      <c r="M56" s="58">
        <f t="shared" si="22"/>
        <v>0.91930114942528707</v>
      </c>
      <c r="N56" s="58">
        <f t="shared" si="16"/>
        <v>1.2652644230769134E-2</v>
      </c>
      <c r="O56" s="58">
        <f t="shared" si="14"/>
        <v>6.3800000000000008</v>
      </c>
      <c r="P56" s="58">
        <f t="shared" si="23"/>
        <v>7.8523076923076927</v>
      </c>
      <c r="Q56" s="58">
        <f t="shared" si="24"/>
        <v>4.907692307692308</v>
      </c>
    </row>
    <row r="57" spans="1:17">
      <c r="A57" s="58">
        <f t="shared" si="17"/>
        <v>22</v>
      </c>
      <c r="B57" s="61">
        <f t="shared" si="18"/>
        <v>9.9423076923076916</v>
      </c>
      <c r="C57" s="59">
        <f t="shared" si="19"/>
        <v>0.2</v>
      </c>
      <c r="D57" s="64">
        <f>B2</f>
        <v>72.582399999999993</v>
      </c>
      <c r="E57" s="57">
        <f t="shared" si="7"/>
        <v>6.0195929824561398</v>
      </c>
      <c r="F57" s="59">
        <f t="shared" si="20"/>
        <v>0.52</v>
      </c>
      <c r="G57" s="57">
        <f t="shared" si="9"/>
        <v>0.52</v>
      </c>
      <c r="H57" s="59">
        <f t="shared" si="21"/>
        <v>0.32</v>
      </c>
      <c r="I57" s="60">
        <f t="shared" si="25"/>
        <v>1.9831730769230781E-3</v>
      </c>
      <c r="J57" s="60">
        <f t="shared" si="15"/>
        <v>9.3209134615384617E-2</v>
      </c>
      <c r="K57" s="160">
        <f t="shared" si="11"/>
        <v>93.209134615384613</v>
      </c>
      <c r="L57" s="131">
        <f t="shared" si="12"/>
        <v>0.61538461538461542</v>
      </c>
      <c r="M57" s="58">
        <f t="shared" si="22"/>
        <v>0.93659883040935654</v>
      </c>
      <c r="N57" s="58">
        <f t="shared" si="16"/>
        <v>1.2434495192307701E-2</v>
      </c>
      <c r="O57" s="58">
        <f t="shared" si="14"/>
        <v>6.2700000000000005</v>
      </c>
      <c r="P57" s="58">
        <f t="shared" si="23"/>
        <v>7.7169230769230772</v>
      </c>
      <c r="Q57" s="58">
        <f t="shared" si="24"/>
        <v>4.8230769230769237</v>
      </c>
    </row>
    <row r="58" spans="1:17">
      <c r="A58" s="58">
        <f t="shared" si="17"/>
        <v>22</v>
      </c>
      <c r="B58" s="61">
        <f t="shared" si="18"/>
        <v>10.153846153846155</v>
      </c>
      <c r="C58" s="59">
        <f t="shared" si="19"/>
        <v>0.2</v>
      </c>
      <c r="D58" s="64">
        <f>B2</f>
        <v>72.582399999999993</v>
      </c>
      <c r="E58" s="57">
        <f t="shared" si="7"/>
        <v>6.1270857142857142</v>
      </c>
      <c r="F58" s="59">
        <f t="shared" si="20"/>
        <v>0.52</v>
      </c>
      <c r="G58" s="57">
        <f t="shared" si="9"/>
        <v>0.52</v>
      </c>
      <c r="H58" s="59">
        <f t="shared" si="21"/>
        <v>0.32</v>
      </c>
      <c r="I58" s="60">
        <f t="shared" si="25"/>
        <v>1.983173076923095E-3</v>
      </c>
      <c r="J58" s="60">
        <f t="shared" si="15"/>
        <v>9.5192307692307715E-2</v>
      </c>
      <c r="K58" s="160">
        <f t="shared" si="11"/>
        <v>95.192307692307722</v>
      </c>
      <c r="L58" s="131">
        <f t="shared" si="12"/>
        <v>0.61538461538461542</v>
      </c>
      <c r="M58" s="58">
        <f t="shared" si="22"/>
        <v>0.95451428571428565</v>
      </c>
      <c r="N58" s="58">
        <f t="shared" si="16"/>
        <v>1.2216346153846263E-2</v>
      </c>
      <c r="O58" s="58">
        <f t="shared" si="14"/>
        <v>6.1599999999999993</v>
      </c>
      <c r="P58" s="58">
        <f t="shared" si="23"/>
        <v>7.5815384615384609</v>
      </c>
      <c r="Q58" s="58">
        <f t="shared" si="24"/>
        <v>4.7384615384615385</v>
      </c>
    </row>
    <row r="59" spans="1:17">
      <c r="A59" s="58">
        <f t="shared" si="17"/>
        <v>22</v>
      </c>
      <c r="B59" s="61">
        <f t="shared" si="18"/>
        <v>10.365384615384615</v>
      </c>
      <c r="C59" s="59">
        <f t="shared" si="19"/>
        <v>0.2</v>
      </c>
      <c r="D59" s="64">
        <f>B2</f>
        <v>72.582399999999993</v>
      </c>
      <c r="E59" s="57">
        <f t="shared" si="7"/>
        <v>6.238487272727272</v>
      </c>
      <c r="F59" s="59">
        <f t="shared" si="20"/>
        <v>0.52</v>
      </c>
      <c r="G59" s="57">
        <f t="shared" si="9"/>
        <v>0.52</v>
      </c>
      <c r="H59" s="59">
        <f t="shared" si="21"/>
        <v>0.32</v>
      </c>
      <c r="I59" s="60">
        <f t="shared" si="25"/>
        <v>1.9831730769230616E-3</v>
      </c>
      <c r="J59" s="60">
        <f t="shared" si="15"/>
        <v>9.7175480769230771E-2</v>
      </c>
      <c r="K59" s="160">
        <f t="shared" si="11"/>
        <v>97.175480769230774</v>
      </c>
      <c r="L59" s="131">
        <f t="shared" si="12"/>
        <v>0.61538461538461542</v>
      </c>
      <c r="M59" s="58">
        <f t="shared" si="22"/>
        <v>0.9730812121212119</v>
      </c>
      <c r="N59" s="58">
        <f t="shared" si="16"/>
        <v>1.1998197115384523E-2</v>
      </c>
      <c r="O59" s="58">
        <f t="shared" si="14"/>
        <v>6.0500000000000007</v>
      </c>
      <c r="P59" s="58">
        <f t="shared" si="23"/>
        <v>7.4461538461538463</v>
      </c>
      <c r="Q59" s="58">
        <f t="shared" si="24"/>
        <v>4.6538461538461542</v>
      </c>
    </row>
    <row r="60" spans="1:17">
      <c r="A60" s="58">
        <f t="shared" si="17"/>
        <v>22</v>
      </c>
      <c r="B60" s="61">
        <f t="shared" si="18"/>
        <v>10.576923076923077</v>
      </c>
      <c r="C60" s="59">
        <f t="shared" si="19"/>
        <v>0.2</v>
      </c>
      <c r="D60" s="64">
        <f>B2</f>
        <v>72.582399999999993</v>
      </c>
      <c r="E60" s="57">
        <f t="shared" si="7"/>
        <v>6.3540148148148141</v>
      </c>
      <c r="F60" s="59">
        <f t="shared" si="20"/>
        <v>0.52</v>
      </c>
      <c r="G60" s="57">
        <f t="shared" si="9"/>
        <v>0.52</v>
      </c>
      <c r="H60" s="59">
        <f t="shared" si="21"/>
        <v>0.32</v>
      </c>
      <c r="I60" s="60">
        <f t="shared" si="25"/>
        <v>1.9831730769230781E-3</v>
      </c>
      <c r="J60" s="60">
        <f t="shared" si="15"/>
        <v>9.9158653846153855E-2</v>
      </c>
      <c r="K60" s="160">
        <f t="shared" si="11"/>
        <v>99.158653846153854</v>
      </c>
      <c r="L60" s="131">
        <f t="shared" si="12"/>
        <v>0.61538461538461542</v>
      </c>
      <c r="M60" s="58">
        <f t="shared" si="22"/>
        <v>0.99233580246913566</v>
      </c>
      <c r="N60" s="58">
        <f t="shared" si="16"/>
        <v>1.1780048076923086E-2</v>
      </c>
      <c r="O60" s="58">
        <f t="shared" si="14"/>
        <v>5.94</v>
      </c>
      <c r="P60" s="58">
        <f t="shared" si="23"/>
        <v>7.3107692307692309</v>
      </c>
      <c r="Q60" s="58">
        <f t="shared" si="24"/>
        <v>4.5692307692307699</v>
      </c>
    </row>
    <row r="61" spans="1:17">
      <c r="A61" s="58">
        <f t="shared" si="17"/>
        <v>22</v>
      </c>
      <c r="B61" s="61">
        <f t="shared" si="18"/>
        <v>10.788461538461538</v>
      </c>
      <c r="C61" s="59">
        <f t="shared" si="19"/>
        <v>0.2</v>
      </c>
      <c r="D61" s="64">
        <f>B2</f>
        <v>72.582399999999993</v>
      </c>
      <c r="E61" s="57">
        <f t="shared" si="7"/>
        <v>6.4739018867924525</v>
      </c>
      <c r="F61" s="59">
        <f t="shared" si="20"/>
        <v>0.52</v>
      </c>
      <c r="G61" s="57">
        <f t="shared" si="9"/>
        <v>0.52</v>
      </c>
      <c r="H61" s="59">
        <f t="shared" si="21"/>
        <v>0.32</v>
      </c>
      <c r="I61" s="60">
        <f t="shared" si="25"/>
        <v>1.9831730769230781E-3</v>
      </c>
      <c r="J61" s="60">
        <f t="shared" si="15"/>
        <v>0.10114182692307694</v>
      </c>
      <c r="K61" s="160">
        <f t="shared" si="11"/>
        <v>101.14182692307693</v>
      </c>
      <c r="L61" s="131">
        <f t="shared" si="12"/>
        <v>0.61538461538461542</v>
      </c>
      <c r="M61" s="58">
        <f t="shared" si="22"/>
        <v>1.0123169811320754</v>
      </c>
      <c r="N61" s="58">
        <f>I61*G61*(A61-B61)</f>
        <v>1.1561899038461547E-2</v>
      </c>
      <c r="O61" s="58">
        <f t="shared" si="14"/>
        <v>5.83</v>
      </c>
      <c r="P61" s="58">
        <f t="shared" si="23"/>
        <v>7.1753846153846155</v>
      </c>
      <c r="Q61" s="58">
        <f t="shared" si="24"/>
        <v>4.4846153846153847</v>
      </c>
    </row>
    <row r="62" spans="1:17">
      <c r="A62" s="58">
        <f t="shared" si="17"/>
        <v>22</v>
      </c>
      <c r="B62" s="61">
        <f t="shared" si="18"/>
        <v>11</v>
      </c>
      <c r="C62" s="59">
        <f t="shared" si="19"/>
        <v>0.2</v>
      </c>
      <c r="D62" s="64">
        <f>B2</f>
        <v>72.582399999999993</v>
      </c>
      <c r="E62" s="57">
        <f t="shared" si="7"/>
        <v>6.5983999999999989</v>
      </c>
      <c r="F62" s="59">
        <f t="shared" si="20"/>
        <v>0.52</v>
      </c>
      <c r="G62" s="57">
        <f t="shared" si="9"/>
        <v>0.52</v>
      </c>
      <c r="H62" s="59">
        <f t="shared" si="21"/>
        <v>0.32</v>
      </c>
      <c r="I62" s="60">
        <f t="shared" si="25"/>
        <v>1.9831730769230781E-3</v>
      </c>
      <c r="J62" s="60">
        <f t="shared" si="15"/>
        <v>0.10312500000000002</v>
      </c>
      <c r="K62" s="160">
        <f t="shared" si="11"/>
        <v>103.12500000000003</v>
      </c>
      <c r="L62" s="131">
        <f t="shared" si="12"/>
        <v>0.61538461538461542</v>
      </c>
      <c r="M62" s="58">
        <f t="shared" si="22"/>
        <v>1.0330666666666664</v>
      </c>
      <c r="N62" s="58">
        <f t="shared" si="16"/>
        <v>1.1343750000000008E-2</v>
      </c>
      <c r="O62" s="58">
        <f t="shared" si="14"/>
        <v>5.7200000000000006</v>
      </c>
      <c r="P62" s="58">
        <f t="shared" si="23"/>
        <v>7.04</v>
      </c>
      <c r="Q62" s="58">
        <f t="shared" si="24"/>
        <v>4.4000000000000004</v>
      </c>
    </row>
    <row r="63" spans="1:17">
      <c r="A63" s="58">
        <f t="shared" si="17"/>
        <v>22</v>
      </c>
      <c r="B63" s="61">
        <f t="shared" si="18"/>
        <v>11.21153846153846</v>
      </c>
      <c r="C63" s="59">
        <f t="shared" si="19"/>
        <v>0.2</v>
      </c>
      <c r="D63" s="64">
        <f>B2</f>
        <v>72.582399999999993</v>
      </c>
      <c r="E63" s="57">
        <f t="shared" si="7"/>
        <v>6.7277803921568609</v>
      </c>
      <c r="F63" s="59">
        <f t="shared" si="20"/>
        <v>0.52</v>
      </c>
      <c r="G63" s="57">
        <f t="shared" si="9"/>
        <v>0.52</v>
      </c>
      <c r="H63" s="59">
        <f t="shared" si="21"/>
        <v>0.32</v>
      </c>
      <c r="I63" s="60">
        <f t="shared" si="25"/>
        <v>1.9831730769230616E-3</v>
      </c>
      <c r="J63" s="60">
        <f t="shared" si="15"/>
        <v>0.10510817307692308</v>
      </c>
      <c r="K63" s="160">
        <f t="shared" si="11"/>
        <v>105.10817307692308</v>
      </c>
      <c r="L63" s="131">
        <f t="shared" si="12"/>
        <v>0.61538461538461542</v>
      </c>
      <c r="M63" s="58">
        <f t="shared" si="22"/>
        <v>1.0546300653594767</v>
      </c>
      <c r="N63" s="58">
        <f t="shared" si="16"/>
        <v>1.1125600961538378E-2</v>
      </c>
      <c r="O63" s="58">
        <f t="shared" si="14"/>
        <v>5.6100000000000012</v>
      </c>
      <c r="P63" s="58">
        <f t="shared" si="23"/>
        <v>6.9046153846153855</v>
      </c>
      <c r="Q63" s="58">
        <f t="shared" si="24"/>
        <v>4.315384615384616</v>
      </c>
    </row>
    <row r="64" spans="1:17">
      <c r="A64" s="58">
        <f t="shared" si="17"/>
        <v>22</v>
      </c>
      <c r="B64" s="61">
        <f t="shared" si="18"/>
        <v>11.423076923076923</v>
      </c>
      <c r="C64" s="59">
        <f t="shared" si="19"/>
        <v>0.2</v>
      </c>
      <c r="D64" s="64">
        <f>B2</f>
        <v>72.582399999999993</v>
      </c>
      <c r="E64" s="57">
        <f t="shared" si="7"/>
        <v>6.8623359999999991</v>
      </c>
      <c r="F64" s="59">
        <f t="shared" si="20"/>
        <v>0.52</v>
      </c>
      <c r="G64" s="57">
        <f t="shared" si="9"/>
        <v>0.52</v>
      </c>
      <c r="H64" s="59">
        <f t="shared" si="21"/>
        <v>0.32</v>
      </c>
      <c r="I64" s="60">
        <f t="shared" si="25"/>
        <v>1.983173076923095E-3</v>
      </c>
      <c r="J64" s="60">
        <f t="shared" si="15"/>
        <v>0.10709134615384618</v>
      </c>
      <c r="K64" s="160">
        <f t="shared" si="11"/>
        <v>107.09134615384617</v>
      </c>
      <c r="L64" s="131">
        <f t="shared" si="12"/>
        <v>0.61538461538461542</v>
      </c>
      <c r="M64" s="58">
        <f t="shared" si="22"/>
        <v>1.0770559999999998</v>
      </c>
      <c r="N64" s="58">
        <f t="shared" si="16"/>
        <v>1.0907451923077021E-2</v>
      </c>
      <c r="O64" s="58">
        <f t="shared" si="14"/>
        <v>5.5</v>
      </c>
      <c r="P64" s="58">
        <f t="shared" si="23"/>
        <v>6.7692307692307692</v>
      </c>
      <c r="Q64" s="58">
        <f t="shared" si="24"/>
        <v>4.2307692307692308</v>
      </c>
    </row>
    <row r="65" spans="1:17">
      <c r="A65" s="58">
        <f t="shared" si="17"/>
        <v>22</v>
      </c>
      <c r="B65" s="61">
        <f t="shared" si="18"/>
        <v>11.634615384615385</v>
      </c>
      <c r="C65" s="59">
        <f t="shared" si="19"/>
        <v>0.2</v>
      </c>
      <c r="D65" s="64">
        <f>B2</f>
        <v>72.582399999999993</v>
      </c>
      <c r="E65" s="57">
        <f t="shared" si="7"/>
        <v>7.0023836734693869</v>
      </c>
      <c r="F65" s="59">
        <f t="shared" si="20"/>
        <v>0.52</v>
      </c>
      <c r="G65" s="57">
        <f t="shared" si="9"/>
        <v>0.52</v>
      </c>
      <c r="H65" s="59">
        <f t="shared" si="21"/>
        <v>0.32</v>
      </c>
      <c r="I65" s="60">
        <f t="shared" si="25"/>
        <v>1.9831730769230781E-3</v>
      </c>
      <c r="J65" s="60">
        <f t="shared" si="15"/>
        <v>0.10907451923076926</v>
      </c>
      <c r="K65" s="160">
        <f t="shared" si="11"/>
        <v>109.07451923076925</v>
      </c>
      <c r="L65" s="131">
        <f t="shared" si="12"/>
        <v>0.61538461538461542</v>
      </c>
      <c r="M65" s="58">
        <f t="shared" si="22"/>
        <v>1.1003972789115644</v>
      </c>
      <c r="N65" s="58">
        <f t="shared" si="16"/>
        <v>1.0689302884615391E-2</v>
      </c>
      <c r="O65" s="58">
        <f t="shared" si="14"/>
        <v>5.39</v>
      </c>
      <c r="P65" s="58">
        <f t="shared" si="23"/>
        <v>6.6338461538461537</v>
      </c>
      <c r="Q65" s="58">
        <f t="shared" si="24"/>
        <v>4.1461538461538465</v>
      </c>
    </row>
    <row r="66" spans="1:17">
      <c r="A66" s="58">
        <f t="shared" si="17"/>
        <v>22</v>
      </c>
      <c r="B66" s="61">
        <f t="shared" si="18"/>
        <v>11.846153846153845</v>
      </c>
      <c r="C66" s="59">
        <f t="shared" si="19"/>
        <v>0.2</v>
      </c>
      <c r="D66" s="64">
        <f>B2</f>
        <v>72.582399999999993</v>
      </c>
      <c r="E66" s="57">
        <f t="shared" si="7"/>
        <v>7.1482666666666654</v>
      </c>
      <c r="F66" s="59">
        <f t="shared" si="20"/>
        <v>0.52</v>
      </c>
      <c r="G66" s="57">
        <f t="shared" si="9"/>
        <v>0.52</v>
      </c>
      <c r="H66" s="59">
        <f t="shared" si="21"/>
        <v>0.32</v>
      </c>
      <c r="I66" s="60">
        <f t="shared" si="25"/>
        <v>1.9831730769230616E-3</v>
      </c>
      <c r="J66" s="60">
        <f t="shared" si="15"/>
        <v>0.11105769230769232</v>
      </c>
      <c r="K66" s="160">
        <f t="shared" si="11"/>
        <v>111.05769230769232</v>
      </c>
      <c r="L66" s="131">
        <f t="shared" si="12"/>
        <v>0.61538461538461542</v>
      </c>
      <c r="M66" s="58">
        <f t="shared" si="22"/>
        <v>1.1247111111111108</v>
      </c>
      <c r="N66" s="58">
        <f t="shared" si="16"/>
        <v>1.0471153846153767E-2</v>
      </c>
      <c r="O66" s="58">
        <f t="shared" si="14"/>
        <v>5.2800000000000011</v>
      </c>
      <c r="P66" s="58">
        <f t="shared" si="23"/>
        <v>6.4984615384615392</v>
      </c>
      <c r="Q66" s="58">
        <f t="shared" si="24"/>
        <v>4.0615384615384622</v>
      </c>
    </row>
    <row r="67" spans="1:17">
      <c r="A67" s="58">
        <f t="shared" si="17"/>
        <v>22</v>
      </c>
      <c r="B67" s="61">
        <f t="shared" si="18"/>
        <v>12.057692307692308</v>
      </c>
      <c r="C67" s="59">
        <f t="shared" si="19"/>
        <v>0.2</v>
      </c>
      <c r="D67" s="64">
        <f>B2</f>
        <v>72.582399999999993</v>
      </c>
      <c r="E67" s="57">
        <f t="shared" si="7"/>
        <v>7.3003574468085102</v>
      </c>
      <c r="F67" s="59">
        <f t="shared" si="20"/>
        <v>0.52</v>
      </c>
      <c r="G67" s="57">
        <f t="shared" si="9"/>
        <v>0.52</v>
      </c>
      <c r="H67" s="59">
        <f t="shared" si="21"/>
        <v>0.32</v>
      </c>
      <c r="I67" s="60">
        <f t="shared" si="25"/>
        <v>1.983173076923095E-3</v>
      </c>
      <c r="J67" s="60">
        <f t="shared" si="15"/>
        <v>0.11304086538461541</v>
      </c>
      <c r="K67" s="160">
        <f t="shared" si="11"/>
        <v>113.04086538461542</v>
      </c>
      <c r="L67" s="131">
        <f t="shared" si="12"/>
        <v>0.61538461538461542</v>
      </c>
      <c r="M67" s="58">
        <f t="shared" si="22"/>
        <v>1.150059574468085</v>
      </c>
      <c r="N67" s="58">
        <f t="shared" si="16"/>
        <v>1.02530048076924E-2</v>
      </c>
      <c r="O67" s="58">
        <f t="shared" si="14"/>
        <v>5.17</v>
      </c>
      <c r="P67" s="58">
        <f t="shared" si="23"/>
        <v>6.3630769230769229</v>
      </c>
      <c r="Q67" s="58">
        <f t="shared" si="24"/>
        <v>3.976923076923077</v>
      </c>
    </row>
    <row r="68" spans="1:17">
      <c r="A68" s="58">
        <f t="shared" si="17"/>
        <v>22</v>
      </c>
      <c r="B68" s="61">
        <f t="shared" si="18"/>
        <v>12.26923076923077</v>
      </c>
      <c r="C68" s="59">
        <f t="shared" si="19"/>
        <v>0.2</v>
      </c>
      <c r="D68" s="64">
        <f>B2</f>
        <v>72.582399999999993</v>
      </c>
      <c r="E68" s="57">
        <f t="shared" si="7"/>
        <v>7.4590608695652172</v>
      </c>
      <c r="F68" s="59">
        <f t="shared" si="20"/>
        <v>0.52</v>
      </c>
      <c r="G68" s="57">
        <f t="shared" si="9"/>
        <v>0.52</v>
      </c>
      <c r="H68" s="59">
        <f t="shared" si="21"/>
        <v>0.32</v>
      </c>
      <c r="I68" s="60">
        <f t="shared" si="25"/>
        <v>1.9831730769230781E-3</v>
      </c>
      <c r="J68" s="60">
        <f t="shared" si="15"/>
        <v>0.1150240384615385</v>
      </c>
      <c r="K68" s="160">
        <f t="shared" si="11"/>
        <v>115.0240384615385</v>
      </c>
      <c r="L68" s="131">
        <f t="shared" si="12"/>
        <v>0.61538461538461542</v>
      </c>
      <c r="M68" s="58">
        <f t="shared" si="22"/>
        <v>1.1765101449275361</v>
      </c>
      <c r="N68" s="58">
        <f t="shared" si="16"/>
        <v>1.0034855769230775E-2</v>
      </c>
      <c r="O68" s="58">
        <f t="shared" si="14"/>
        <v>5.0599999999999996</v>
      </c>
      <c r="P68" s="58">
        <f t="shared" si="23"/>
        <v>6.2276923076923074</v>
      </c>
      <c r="Q68" s="58">
        <f t="shared" si="24"/>
        <v>3.8923076923076922</v>
      </c>
    </row>
    <row r="69" spans="1:17">
      <c r="A69" s="58">
        <f t="shared" si="17"/>
        <v>22</v>
      </c>
      <c r="B69" s="61">
        <f t="shared" si="18"/>
        <v>12.48076923076923</v>
      </c>
      <c r="C69" s="59">
        <f t="shared" si="19"/>
        <v>0.2</v>
      </c>
      <c r="D69" s="64">
        <f>B2</f>
        <v>72.582399999999993</v>
      </c>
      <c r="E69" s="57">
        <f t="shared" si="7"/>
        <v>7.6248177777777766</v>
      </c>
      <c r="F69" s="59">
        <f t="shared" si="20"/>
        <v>0.52</v>
      </c>
      <c r="G69" s="57">
        <f t="shared" si="9"/>
        <v>0.52</v>
      </c>
      <c r="H69" s="59">
        <f t="shared" si="21"/>
        <v>0.32</v>
      </c>
      <c r="I69" s="60">
        <f t="shared" si="25"/>
        <v>1.9831730769230616E-3</v>
      </c>
      <c r="J69" s="60">
        <f t="shared" si="15"/>
        <v>0.11700721153846155</v>
      </c>
      <c r="K69" s="160">
        <f t="shared" si="11"/>
        <v>117.00721153846155</v>
      </c>
      <c r="L69" s="131">
        <f t="shared" si="12"/>
        <v>0.61538461538461542</v>
      </c>
      <c r="M69" s="58">
        <f t="shared" si="22"/>
        <v>1.204136296296296</v>
      </c>
      <c r="N69" s="58">
        <f t="shared" si="16"/>
        <v>9.816706730769155E-3</v>
      </c>
      <c r="O69" s="58">
        <f t="shared" si="14"/>
        <v>4.95</v>
      </c>
      <c r="P69" s="58">
        <f t="shared" si="23"/>
        <v>6.0923076923076929</v>
      </c>
      <c r="Q69" s="58">
        <f t="shared" si="24"/>
        <v>3.8076923076923084</v>
      </c>
    </row>
    <row r="70" spans="1:17">
      <c r="A70" s="58">
        <f t="shared" si="17"/>
        <v>22</v>
      </c>
      <c r="B70" s="61">
        <f t="shared" si="18"/>
        <v>12.692307692307692</v>
      </c>
      <c r="C70" s="59">
        <f t="shared" si="19"/>
        <v>0.2</v>
      </c>
      <c r="D70" s="64">
        <f>B2</f>
        <v>72.582399999999993</v>
      </c>
      <c r="E70" s="57">
        <f t="shared" si="7"/>
        <v>7.7981090909090893</v>
      </c>
      <c r="F70" s="59">
        <f t="shared" si="20"/>
        <v>0.52</v>
      </c>
      <c r="G70" s="57">
        <f t="shared" si="9"/>
        <v>0.52</v>
      </c>
      <c r="H70" s="59">
        <f t="shared" si="21"/>
        <v>0.32</v>
      </c>
      <c r="I70" s="60">
        <f t="shared" si="25"/>
        <v>1.9831730769230781E-3</v>
      </c>
      <c r="J70" s="60">
        <f t="shared" si="15"/>
        <v>0.11899038461538464</v>
      </c>
      <c r="K70" s="160">
        <f t="shared" si="11"/>
        <v>118.99038461538464</v>
      </c>
      <c r="L70" s="131">
        <f t="shared" si="12"/>
        <v>0.61538461538461542</v>
      </c>
      <c r="M70" s="58">
        <f t="shared" si="22"/>
        <v>1.2330181818181813</v>
      </c>
      <c r="N70" s="58">
        <f t="shared" si="16"/>
        <v>9.5985576923076996E-3</v>
      </c>
      <c r="O70" s="58">
        <f t="shared" si="14"/>
        <v>4.8400000000000007</v>
      </c>
      <c r="P70" s="58">
        <f t="shared" si="23"/>
        <v>5.9569230769230774</v>
      </c>
      <c r="Q70" s="58">
        <f t="shared" si="24"/>
        <v>3.7230769230769236</v>
      </c>
    </row>
    <row r="71" spans="1:17">
      <c r="A71" s="58">
        <f t="shared" si="17"/>
        <v>22</v>
      </c>
      <c r="B71" s="61">
        <f t="shared" si="18"/>
        <v>12.903846153846155</v>
      </c>
      <c r="C71" s="59">
        <f t="shared" si="19"/>
        <v>0.2</v>
      </c>
      <c r="D71" s="64">
        <f>B2</f>
        <v>72.582399999999993</v>
      </c>
      <c r="E71" s="57">
        <f t="shared" si="7"/>
        <v>7.9794604651162793</v>
      </c>
      <c r="F71" s="59">
        <f t="shared" si="20"/>
        <v>0.52</v>
      </c>
      <c r="G71" s="57">
        <f t="shared" si="9"/>
        <v>0.52</v>
      </c>
      <c r="H71" s="59">
        <f t="shared" si="21"/>
        <v>0.32</v>
      </c>
      <c r="I71" s="60">
        <f t="shared" si="25"/>
        <v>1.983173076923095E-3</v>
      </c>
      <c r="J71" s="60">
        <f t="shared" si="15"/>
        <v>0.12097355769230773</v>
      </c>
      <c r="K71" s="160">
        <f t="shared" si="11"/>
        <v>120.97355769230774</v>
      </c>
      <c r="L71" s="131">
        <f t="shared" si="12"/>
        <v>0.61538461538461542</v>
      </c>
      <c r="M71" s="58">
        <f t="shared" si="22"/>
        <v>1.2632434108527131</v>
      </c>
      <c r="N71" s="58">
        <f t="shared" si="16"/>
        <v>9.3804086538462374E-3</v>
      </c>
      <c r="O71" s="58">
        <f t="shared" si="14"/>
        <v>4.7299999999999995</v>
      </c>
      <c r="P71" s="58">
        <f t="shared" si="23"/>
        <v>5.8215384615384611</v>
      </c>
      <c r="Q71" s="58">
        <f t="shared" si="24"/>
        <v>3.638461538461538</v>
      </c>
    </row>
    <row r="72" spans="1:17">
      <c r="A72" s="58">
        <f t="shared" si="17"/>
        <v>22</v>
      </c>
      <c r="B72" s="61">
        <f t="shared" si="18"/>
        <v>13.115384615384615</v>
      </c>
      <c r="C72" s="59">
        <f t="shared" si="19"/>
        <v>0.2</v>
      </c>
      <c r="D72" s="64">
        <f>B2</f>
        <v>72.582399999999993</v>
      </c>
      <c r="E72" s="57">
        <f t="shared" si="7"/>
        <v>8.1694476190476184</v>
      </c>
      <c r="F72" s="59">
        <f t="shared" si="20"/>
        <v>0.52</v>
      </c>
      <c r="G72" s="57">
        <f t="shared" si="9"/>
        <v>0.52</v>
      </c>
      <c r="H72" s="59">
        <f t="shared" si="21"/>
        <v>0.32</v>
      </c>
      <c r="I72" s="60">
        <f t="shared" si="25"/>
        <v>1.9831730769230616E-3</v>
      </c>
      <c r="J72" s="60">
        <f t="shared" si="15"/>
        <v>0.12295673076923079</v>
      </c>
      <c r="K72" s="160">
        <f t="shared" si="11"/>
        <v>122.95673076923079</v>
      </c>
      <c r="L72" s="131">
        <f t="shared" si="12"/>
        <v>0.61538461538461542</v>
      </c>
      <c r="M72" s="58">
        <f t="shared" si="22"/>
        <v>1.2949079365079363</v>
      </c>
      <c r="N72" s="58">
        <f t="shared" si="16"/>
        <v>9.1622596153845444E-3</v>
      </c>
      <c r="O72" s="58">
        <f t="shared" si="14"/>
        <v>4.62</v>
      </c>
      <c r="P72" s="58">
        <f t="shared" si="23"/>
        <v>5.6861538461538466</v>
      </c>
      <c r="Q72" s="58">
        <f t="shared" si="24"/>
        <v>3.5538461538461541</v>
      </c>
    </row>
    <row r="73" spans="1:17">
      <c r="A73" s="58">
        <f t="shared" si="17"/>
        <v>22</v>
      </c>
      <c r="B73" s="61">
        <f t="shared" si="18"/>
        <v>13.326923076923077</v>
      </c>
      <c r="C73" s="59">
        <f t="shared" si="19"/>
        <v>0.2</v>
      </c>
      <c r="D73" s="64">
        <f>B2</f>
        <v>72.582399999999993</v>
      </c>
      <c r="E73" s="57">
        <f t="shared" si="7"/>
        <v>8.3687024390243892</v>
      </c>
      <c r="F73" s="59">
        <f t="shared" si="20"/>
        <v>0.52</v>
      </c>
      <c r="G73" s="57">
        <f t="shared" si="9"/>
        <v>0.52</v>
      </c>
      <c r="H73" s="59">
        <f t="shared" si="21"/>
        <v>0.32</v>
      </c>
      <c r="I73" s="60">
        <f t="shared" si="25"/>
        <v>1.9831730769230781E-3</v>
      </c>
      <c r="J73" s="60">
        <f t="shared" si="15"/>
        <v>0.12493990384615387</v>
      </c>
      <c r="K73" s="160">
        <f t="shared" si="11"/>
        <v>124.93990384615387</v>
      </c>
      <c r="L73" s="131">
        <f t="shared" si="12"/>
        <v>0.61538461538461542</v>
      </c>
      <c r="M73" s="58">
        <f t="shared" si="22"/>
        <v>1.3281170731707315</v>
      </c>
      <c r="N73" s="58">
        <f t="shared" si="16"/>
        <v>8.9441105769230839E-3</v>
      </c>
      <c r="O73" s="58">
        <f t="shared" si="14"/>
        <v>4.5100000000000007</v>
      </c>
      <c r="P73" s="58">
        <f t="shared" si="23"/>
        <v>5.5507692307692311</v>
      </c>
      <c r="Q73" s="58">
        <f t="shared" si="24"/>
        <v>3.4692307692307693</v>
      </c>
    </row>
    <row r="74" spans="1:17">
      <c r="A74" s="58">
        <f t="shared" ref="A74:A105" si="26">VINMAX</f>
        <v>22</v>
      </c>
      <c r="B74" s="61">
        <f t="shared" ref="B74:B105" si="27">VINMAX*((ROW()-10)/104)</f>
        <v>13.53846153846154</v>
      </c>
      <c r="C74" s="59">
        <f t="shared" ref="C74:C105" si="28">IF(B74&gt;=$H$2,IF($D$2="CC", $G$2, B74/$G$2), 0)</f>
        <v>0.2</v>
      </c>
      <c r="D74" s="64">
        <f>B2</f>
        <v>72.582399999999993</v>
      </c>
      <c r="E74" s="57">
        <f t="shared" si="7"/>
        <v>8.5779200000000007</v>
      </c>
      <c r="F74" s="59">
        <f t="shared" ref="F74:F105" si="29">I_Cout_ss+C74</f>
        <v>0.52</v>
      </c>
      <c r="G74" s="57">
        <f t="shared" si="9"/>
        <v>0.52</v>
      </c>
      <c r="H74" s="59">
        <f t="shared" ref="H74:H105" si="30">G74-C74</f>
        <v>0.32</v>
      </c>
      <c r="I74" s="60">
        <f t="shared" si="25"/>
        <v>1.983173076923095E-3</v>
      </c>
      <c r="J74" s="60">
        <f t="shared" si="15"/>
        <v>0.12692307692307697</v>
      </c>
      <c r="K74" s="160">
        <f t="shared" si="11"/>
        <v>126.92307692307698</v>
      </c>
      <c r="L74" s="131">
        <f t="shared" si="12"/>
        <v>0.61538461538461542</v>
      </c>
      <c r="M74" s="58">
        <f t="shared" ref="M74:M105" si="31">1/COUTMAX*(E74/2-C74)*1000</f>
        <v>1.3629866666666666</v>
      </c>
      <c r="N74" s="58">
        <f t="shared" si="16"/>
        <v>8.7259615384616164E-3</v>
      </c>
      <c r="O74" s="58">
        <f t="shared" si="14"/>
        <v>4.3999999999999995</v>
      </c>
      <c r="P74" s="58">
        <f t="shared" ref="P74:P105" si="32">(A74-B74)*(I_Cout_ss*$Q$2+C74)</f>
        <v>5.4153846153846148</v>
      </c>
      <c r="Q74" s="58">
        <f t="shared" ref="Q74:Q105" si="33">(A74-B74)*(I_Cout_ss*$R$2+C74)</f>
        <v>3.3846153846153841</v>
      </c>
    </row>
    <row r="75" spans="1:17">
      <c r="A75" s="58">
        <f t="shared" si="26"/>
        <v>22</v>
      </c>
      <c r="B75" s="61">
        <f t="shared" si="27"/>
        <v>13.75</v>
      </c>
      <c r="C75" s="59">
        <f t="shared" si="28"/>
        <v>0.2</v>
      </c>
      <c r="D75" s="64">
        <f>B2</f>
        <v>72.582399999999993</v>
      </c>
      <c r="E75" s="57">
        <f t="shared" ref="E75:E110" si="34">MIN(D75/(A75-B75),$C$2)</f>
        <v>8.7978666666666658</v>
      </c>
      <c r="F75" s="59">
        <f t="shared" si="29"/>
        <v>0.52</v>
      </c>
      <c r="G75" s="57">
        <f t="shared" ref="G75:G114" si="35">IF($F$2="Soft Start", F75, E75)</f>
        <v>0.52</v>
      </c>
      <c r="H75" s="59">
        <f t="shared" si="30"/>
        <v>0.32</v>
      </c>
      <c r="I75" s="60">
        <f t="shared" ref="I75:I106" si="36">(COUTMAX/1000000)*(B75-B74)/H75</f>
        <v>1.9831730769230616E-3</v>
      </c>
      <c r="J75" s="60">
        <f t="shared" si="15"/>
        <v>0.12890625000000003</v>
      </c>
      <c r="K75" s="160">
        <f t="shared" ref="K75:K114" si="37">J75*1000</f>
        <v>128.90625000000003</v>
      </c>
      <c r="L75" s="131">
        <f t="shared" ref="L75:L110" si="38">H75/G75</f>
        <v>0.61538461538461542</v>
      </c>
      <c r="M75" s="58">
        <f t="shared" si="31"/>
        <v>1.3996444444444442</v>
      </c>
      <c r="N75" s="58">
        <f t="shared" ref="N75:N110" si="39">I75*G75*(A75-B75)</f>
        <v>8.5078124999999338E-3</v>
      </c>
      <c r="O75" s="58">
        <f t="shared" ref="O75:O114" si="40">G75*(A75-B75)</f>
        <v>4.29</v>
      </c>
      <c r="P75" s="58">
        <f t="shared" si="32"/>
        <v>5.28</v>
      </c>
      <c r="Q75" s="58">
        <f t="shared" si="33"/>
        <v>3.3000000000000003</v>
      </c>
    </row>
    <row r="76" spans="1:17">
      <c r="A76" s="58">
        <f t="shared" si="26"/>
        <v>22</v>
      </c>
      <c r="B76" s="61">
        <f t="shared" si="27"/>
        <v>13.96153846153846</v>
      </c>
      <c r="C76" s="59">
        <f t="shared" si="28"/>
        <v>0.2</v>
      </c>
      <c r="D76" s="64">
        <f>B2</f>
        <v>72.582399999999993</v>
      </c>
      <c r="E76" s="57">
        <f t="shared" si="34"/>
        <v>9.0293894736842084</v>
      </c>
      <c r="F76" s="59">
        <f t="shared" si="29"/>
        <v>0.52</v>
      </c>
      <c r="G76" s="57">
        <f t="shared" si="35"/>
        <v>0.52</v>
      </c>
      <c r="H76" s="59">
        <f t="shared" si="30"/>
        <v>0.32</v>
      </c>
      <c r="I76" s="60">
        <f t="shared" si="36"/>
        <v>1.9831730769230616E-3</v>
      </c>
      <c r="J76" s="60">
        <f t="shared" ref="J76:J110" si="41">J75+I76</f>
        <v>0.13088942307692308</v>
      </c>
      <c r="K76" s="160">
        <f t="shared" si="37"/>
        <v>130.88942307692309</v>
      </c>
      <c r="L76" s="131">
        <f t="shared" si="38"/>
        <v>0.61538461538461542</v>
      </c>
      <c r="M76" s="58">
        <f t="shared" si="31"/>
        <v>1.4382315789473681</v>
      </c>
      <c r="N76" s="58">
        <f t="shared" si="39"/>
        <v>8.2896634615383987E-3</v>
      </c>
      <c r="O76" s="58">
        <f t="shared" si="40"/>
        <v>4.1800000000000006</v>
      </c>
      <c r="P76" s="58">
        <f t="shared" si="32"/>
        <v>5.1446153846153857</v>
      </c>
      <c r="Q76" s="58">
        <f t="shared" si="33"/>
        <v>3.2153846153846164</v>
      </c>
    </row>
    <row r="77" spans="1:17">
      <c r="A77" s="58">
        <f t="shared" si="26"/>
        <v>22</v>
      </c>
      <c r="B77" s="61">
        <f t="shared" si="27"/>
        <v>14.173076923076923</v>
      </c>
      <c r="C77" s="59">
        <f t="shared" si="28"/>
        <v>0.2</v>
      </c>
      <c r="D77" s="64">
        <f>B2</f>
        <v>72.582399999999993</v>
      </c>
      <c r="E77" s="57">
        <f t="shared" si="34"/>
        <v>9.2734270270270258</v>
      </c>
      <c r="F77" s="59">
        <f t="shared" si="29"/>
        <v>0.52</v>
      </c>
      <c r="G77" s="57">
        <f t="shared" si="35"/>
        <v>0.52</v>
      </c>
      <c r="H77" s="59">
        <f t="shared" si="30"/>
        <v>0.32</v>
      </c>
      <c r="I77" s="60">
        <f t="shared" si="36"/>
        <v>1.983173076923095E-3</v>
      </c>
      <c r="J77" s="60">
        <f t="shared" si="41"/>
        <v>0.13287259615384617</v>
      </c>
      <c r="K77" s="160">
        <f t="shared" si="37"/>
        <v>132.87259615384616</v>
      </c>
      <c r="L77" s="131">
        <f t="shared" si="38"/>
        <v>0.61538461538461542</v>
      </c>
      <c r="M77" s="58">
        <f t="shared" si="31"/>
        <v>1.4789045045045042</v>
      </c>
      <c r="N77" s="58">
        <f t="shared" si="39"/>
        <v>8.0715144230769954E-3</v>
      </c>
      <c r="O77" s="58">
        <f t="shared" si="40"/>
        <v>4.07</v>
      </c>
      <c r="P77" s="58">
        <f t="shared" si="32"/>
        <v>5.0092307692307694</v>
      </c>
      <c r="Q77" s="58">
        <f t="shared" si="33"/>
        <v>3.1307692307692307</v>
      </c>
    </row>
    <row r="78" spans="1:17">
      <c r="A78" s="58">
        <f t="shared" si="26"/>
        <v>22</v>
      </c>
      <c r="B78" s="61">
        <f t="shared" si="27"/>
        <v>14.384615384615385</v>
      </c>
      <c r="C78" s="59">
        <f t="shared" si="28"/>
        <v>0.2</v>
      </c>
      <c r="D78" s="64">
        <f>B2</f>
        <v>72.582399999999993</v>
      </c>
      <c r="E78" s="57">
        <f t="shared" si="34"/>
        <v>9.5310222222222212</v>
      </c>
      <c r="F78" s="59">
        <f t="shared" si="29"/>
        <v>0.52</v>
      </c>
      <c r="G78" s="57">
        <f t="shared" si="35"/>
        <v>0.52</v>
      </c>
      <c r="H78" s="59">
        <f t="shared" si="30"/>
        <v>0.32</v>
      </c>
      <c r="I78" s="60">
        <f t="shared" si="36"/>
        <v>1.9831730769230781E-3</v>
      </c>
      <c r="J78" s="60">
        <f t="shared" si="41"/>
        <v>0.13485576923076925</v>
      </c>
      <c r="K78" s="160">
        <f t="shared" si="37"/>
        <v>134.85576923076925</v>
      </c>
      <c r="L78" s="131">
        <f t="shared" si="38"/>
        <v>0.61538461538461542</v>
      </c>
      <c r="M78" s="58">
        <f t="shared" si="31"/>
        <v>1.5218370370370367</v>
      </c>
      <c r="N78" s="58">
        <f t="shared" si="39"/>
        <v>7.8533653846153892E-3</v>
      </c>
      <c r="O78" s="58">
        <f t="shared" si="40"/>
        <v>3.96</v>
      </c>
      <c r="P78" s="58">
        <f t="shared" si="32"/>
        <v>4.8738461538461539</v>
      </c>
      <c r="Q78" s="58">
        <f t="shared" si="33"/>
        <v>3.046153846153846</v>
      </c>
    </row>
    <row r="79" spans="1:17">
      <c r="A79" s="58">
        <f t="shared" si="26"/>
        <v>22</v>
      </c>
      <c r="B79" s="61">
        <f t="shared" si="27"/>
        <v>14.596153846153845</v>
      </c>
      <c r="C79" s="59">
        <f t="shared" si="28"/>
        <v>0.2</v>
      </c>
      <c r="D79" s="64">
        <f>B2</f>
        <v>72.582399999999993</v>
      </c>
      <c r="E79" s="57">
        <f t="shared" si="34"/>
        <v>9.8033371428571403</v>
      </c>
      <c r="F79" s="59">
        <f t="shared" si="29"/>
        <v>0.52</v>
      </c>
      <c r="G79" s="57">
        <f t="shared" si="35"/>
        <v>0.52</v>
      </c>
      <c r="H79" s="59">
        <f t="shared" si="30"/>
        <v>0.32</v>
      </c>
      <c r="I79" s="60">
        <f t="shared" si="36"/>
        <v>1.9831730769230616E-3</v>
      </c>
      <c r="J79" s="60">
        <f t="shared" si="41"/>
        <v>0.13683894230769231</v>
      </c>
      <c r="K79" s="160">
        <f t="shared" si="37"/>
        <v>136.83894230769232</v>
      </c>
      <c r="L79" s="131">
        <f t="shared" si="38"/>
        <v>0.61538461538461542</v>
      </c>
      <c r="M79" s="58">
        <f t="shared" si="31"/>
        <v>1.5672228571428566</v>
      </c>
      <c r="N79" s="58">
        <f t="shared" si="39"/>
        <v>7.6352163461537882E-3</v>
      </c>
      <c r="O79" s="58">
        <f t="shared" si="40"/>
        <v>3.850000000000001</v>
      </c>
      <c r="P79" s="58">
        <f t="shared" si="32"/>
        <v>4.7384615384615394</v>
      </c>
      <c r="Q79" s="58">
        <f t="shared" si="33"/>
        <v>2.9615384615384621</v>
      </c>
    </row>
    <row r="80" spans="1:17">
      <c r="A80" s="58">
        <f t="shared" si="26"/>
        <v>22</v>
      </c>
      <c r="B80" s="61">
        <f t="shared" si="27"/>
        <v>14.807692307692308</v>
      </c>
      <c r="C80" s="59">
        <f t="shared" si="28"/>
        <v>0.2</v>
      </c>
      <c r="D80" s="64">
        <f>B2</f>
        <v>72.582399999999993</v>
      </c>
      <c r="E80" s="57">
        <f t="shared" si="34"/>
        <v>10.091670588235294</v>
      </c>
      <c r="F80" s="59">
        <f t="shared" si="29"/>
        <v>0.52</v>
      </c>
      <c r="G80" s="57">
        <f t="shared" si="35"/>
        <v>0.52</v>
      </c>
      <c r="H80" s="59">
        <f t="shared" si="30"/>
        <v>0.32</v>
      </c>
      <c r="I80" s="60">
        <f t="shared" si="36"/>
        <v>1.983173076923095E-3</v>
      </c>
      <c r="J80" s="60">
        <f t="shared" si="41"/>
        <v>0.13882211538461539</v>
      </c>
      <c r="K80" s="160">
        <f t="shared" si="37"/>
        <v>138.82211538461539</v>
      </c>
      <c r="L80" s="131">
        <f t="shared" si="38"/>
        <v>0.61538461538461542</v>
      </c>
      <c r="M80" s="58">
        <f t="shared" si="31"/>
        <v>1.615278431372549</v>
      </c>
      <c r="N80" s="58">
        <f t="shared" si="39"/>
        <v>7.4170673076923745E-3</v>
      </c>
      <c r="O80" s="58">
        <f t="shared" si="40"/>
        <v>3.7399999999999998</v>
      </c>
      <c r="P80" s="58">
        <f t="shared" si="32"/>
        <v>4.6030769230769231</v>
      </c>
      <c r="Q80" s="58">
        <f t="shared" si="33"/>
        <v>2.8769230769230769</v>
      </c>
    </row>
    <row r="81" spans="1:17">
      <c r="A81" s="58">
        <f t="shared" si="26"/>
        <v>22</v>
      </c>
      <c r="B81" s="61">
        <f t="shared" si="27"/>
        <v>15.01923076923077</v>
      </c>
      <c r="C81" s="59">
        <f t="shared" si="28"/>
        <v>0.2</v>
      </c>
      <c r="D81" s="64">
        <f>B2</f>
        <v>72.582399999999993</v>
      </c>
      <c r="E81" s="57">
        <f t="shared" si="34"/>
        <v>10.397478787878788</v>
      </c>
      <c r="F81" s="59">
        <f t="shared" si="29"/>
        <v>0.52</v>
      </c>
      <c r="G81" s="57">
        <f t="shared" si="35"/>
        <v>0.52</v>
      </c>
      <c r="H81" s="59">
        <f t="shared" si="30"/>
        <v>0.32</v>
      </c>
      <c r="I81" s="60">
        <f t="shared" si="36"/>
        <v>1.9831730769230781E-3</v>
      </c>
      <c r="J81" s="60">
        <f t="shared" si="41"/>
        <v>0.14080528846153847</v>
      </c>
      <c r="K81" s="160">
        <f t="shared" si="37"/>
        <v>140.80528846153848</v>
      </c>
      <c r="L81" s="131">
        <f t="shared" si="38"/>
        <v>0.61538461538461542</v>
      </c>
      <c r="M81" s="58">
        <f t="shared" si="31"/>
        <v>1.6662464646464645</v>
      </c>
      <c r="N81" s="58">
        <f t="shared" si="39"/>
        <v>7.1989182692307734E-3</v>
      </c>
      <c r="O81" s="58">
        <f t="shared" si="40"/>
        <v>3.63</v>
      </c>
      <c r="P81" s="58">
        <f t="shared" si="32"/>
        <v>4.4676923076923076</v>
      </c>
      <c r="Q81" s="58">
        <f t="shared" si="33"/>
        <v>2.7923076923076922</v>
      </c>
    </row>
    <row r="82" spans="1:17">
      <c r="A82" s="58">
        <f t="shared" si="26"/>
        <v>22</v>
      </c>
      <c r="B82" s="61">
        <f t="shared" si="27"/>
        <v>15.23076923076923</v>
      </c>
      <c r="C82" s="59">
        <f t="shared" si="28"/>
        <v>0.2</v>
      </c>
      <c r="D82" s="64">
        <f>B2</f>
        <v>72.582399999999993</v>
      </c>
      <c r="E82" s="57">
        <f t="shared" si="34"/>
        <v>10.722399999999997</v>
      </c>
      <c r="F82" s="59">
        <f t="shared" si="29"/>
        <v>0.52</v>
      </c>
      <c r="G82" s="57">
        <f t="shared" si="35"/>
        <v>0.52</v>
      </c>
      <c r="H82" s="59">
        <f t="shared" si="30"/>
        <v>0.32</v>
      </c>
      <c r="I82" s="60">
        <f t="shared" si="36"/>
        <v>1.9831730769230616E-3</v>
      </c>
      <c r="J82" s="60">
        <f t="shared" si="41"/>
        <v>0.14278846153846153</v>
      </c>
      <c r="K82" s="160">
        <f t="shared" si="37"/>
        <v>142.78846153846152</v>
      </c>
      <c r="L82" s="131">
        <f t="shared" si="38"/>
        <v>0.61538461538461542</v>
      </c>
      <c r="M82" s="58">
        <f t="shared" si="31"/>
        <v>1.7203999999999993</v>
      </c>
      <c r="N82" s="58">
        <f t="shared" si="39"/>
        <v>6.9807692307691776E-3</v>
      </c>
      <c r="O82" s="58">
        <f t="shared" si="40"/>
        <v>3.5200000000000005</v>
      </c>
      <c r="P82" s="58">
        <f t="shared" si="32"/>
        <v>4.3323076923076931</v>
      </c>
      <c r="Q82" s="58">
        <f t="shared" si="33"/>
        <v>2.7076923076923083</v>
      </c>
    </row>
    <row r="83" spans="1:17">
      <c r="A83" s="58">
        <f t="shared" si="26"/>
        <v>22</v>
      </c>
      <c r="B83" s="61">
        <f t="shared" si="27"/>
        <v>15.442307692307692</v>
      </c>
      <c r="C83" s="59">
        <f t="shared" si="28"/>
        <v>0.2</v>
      </c>
      <c r="D83" s="64">
        <f>B2</f>
        <v>72.582399999999993</v>
      </c>
      <c r="E83" s="57">
        <f t="shared" si="34"/>
        <v>11.06828387096774</v>
      </c>
      <c r="F83" s="59">
        <f t="shared" si="29"/>
        <v>0.52</v>
      </c>
      <c r="G83" s="57">
        <f t="shared" si="35"/>
        <v>0.52</v>
      </c>
      <c r="H83" s="59">
        <f t="shared" si="30"/>
        <v>0.32</v>
      </c>
      <c r="I83" s="60">
        <f t="shared" si="36"/>
        <v>1.9831730769230781E-3</v>
      </c>
      <c r="J83" s="60">
        <f t="shared" si="41"/>
        <v>0.14477163461538461</v>
      </c>
      <c r="K83" s="160">
        <f t="shared" si="37"/>
        <v>144.77163461538461</v>
      </c>
      <c r="L83" s="131">
        <f t="shared" si="38"/>
        <v>0.61538461538461542</v>
      </c>
      <c r="M83" s="58">
        <f t="shared" si="31"/>
        <v>1.7780473118279565</v>
      </c>
      <c r="N83" s="58">
        <f t="shared" si="39"/>
        <v>6.762620192307698E-3</v>
      </c>
      <c r="O83" s="58">
        <f t="shared" si="40"/>
        <v>3.4100000000000006</v>
      </c>
      <c r="P83" s="58">
        <f t="shared" si="32"/>
        <v>4.1969230769230776</v>
      </c>
      <c r="Q83" s="58">
        <f t="shared" si="33"/>
        <v>2.6230769230769235</v>
      </c>
    </row>
    <row r="84" spans="1:17">
      <c r="A84" s="58">
        <f t="shared" si="26"/>
        <v>22</v>
      </c>
      <c r="B84" s="61">
        <f t="shared" si="27"/>
        <v>15.653846153846155</v>
      </c>
      <c r="C84" s="59">
        <f t="shared" si="28"/>
        <v>0.2</v>
      </c>
      <c r="D84" s="64">
        <f>B2</f>
        <v>72.582399999999993</v>
      </c>
      <c r="E84" s="57">
        <f t="shared" si="34"/>
        <v>11.437226666666668</v>
      </c>
      <c r="F84" s="59">
        <f t="shared" si="29"/>
        <v>0.52</v>
      </c>
      <c r="G84" s="57">
        <f t="shared" si="35"/>
        <v>0.52</v>
      </c>
      <c r="H84" s="59">
        <f t="shared" si="30"/>
        <v>0.32</v>
      </c>
      <c r="I84" s="60">
        <f t="shared" si="36"/>
        <v>1.983173076923095E-3</v>
      </c>
      <c r="J84" s="60">
        <f t="shared" si="41"/>
        <v>0.1467548076923077</v>
      </c>
      <c r="K84" s="160">
        <f t="shared" si="37"/>
        <v>146.75480769230771</v>
      </c>
      <c r="L84" s="131">
        <f t="shared" si="38"/>
        <v>0.61538461538461542</v>
      </c>
      <c r="M84" s="58">
        <f t="shared" si="31"/>
        <v>1.8395377777777777</v>
      </c>
      <c r="N84" s="58">
        <f t="shared" si="39"/>
        <v>6.5444711538462123E-3</v>
      </c>
      <c r="O84" s="58">
        <f t="shared" si="40"/>
        <v>3.2999999999999994</v>
      </c>
      <c r="P84" s="58">
        <f t="shared" si="32"/>
        <v>4.0615384615384604</v>
      </c>
      <c r="Q84" s="58">
        <f t="shared" si="33"/>
        <v>2.5384615384615383</v>
      </c>
    </row>
    <row r="85" spans="1:17">
      <c r="A85" s="58">
        <f t="shared" si="26"/>
        <v>22</v>
      </c>
      <c r="B85" s="61">
        <f t="shared" si="27"/>
        <v>15.865384615384615</v>
      </c>
      <c r="C85" s="59">
        <f t="shared" si="28"/>
        <v>0.2</v>
      </c>
      <c r="D85" s="64">
        <f>B2</f>
        <v>72.582399999999993</v>
      </c>
      <c r="E85" s="57">
        <f t="shared" si="34"/>
        <v>11.831613793103447</v>
      </c>
      <c r="F85" s="59">
        <f t="shared" si="29"/>
        <v>0.52</v>
      </c>
      <c r="G85" s="57">
        <f t="shared" si="35"/>
        <v>0.52</v>
      </c>
      <c r="H85" s="59">
        <f t="shared" si="30"/>
        <v>0.32</v>
      </c>
      <c r="I85" s="60">
        <f t="shared" si="36"/>
        <v>1.9831730769230616E-3</v>
      </c>
      <c r="J85" s="60">
        <f t="shared" si="41"/>
        <v>0.14873798076923075</v>
      </c>
      <c r="K85" s="160">
        <f t="shared" si="37"/>
        <v>148.73798076923075</v>
      </c>
      <c r="L85" s="131">
        <f t="shared" si="38"/>
        <v>0.61538461538461542</v>
      </c>
      <c r="M85" s="58">
        <f t="shared" si="31"/>
        <v>1.905268965517241</v>
      </c>
      <c r="N85" s="58">
        <f t="shared" si="39"/>
        <v>6.326322115384567E-3</v>
      </c>
      <c r="O85" s="58">
        <f t="shared" si="40"/>
        <v>3.1900000000000004</v>
      </c>
      <c r="P85" s="58">
        <f t="shared" si="32"/>
        <v>3.9261538461538463</v>
      </c>
      <c r="Q85" s="58">
        <f t="shared" si="33"/>
        <v>2.453846153846154</v>
      </c>
    </row>
    <row r="86" spans="1:17">
      <c r="A86" s="58">
        <f t="shared" si="26"/>
        <v>22</v>
      </c>
      <c r="B86" s="61">
        <f t="shared" si="27"/>
        <v>16.076923076923077</v>
      </c>
      <c r="C86" s="59">
        <f t="shared" si="28"/>
        <v>0.2</v>
      </c>
      <c r="D86" s="64">
        <f>B2</f>
        <v>72.582399999999993</v>
      </c>
      <c r="E86" s="57">
        <f t="shared" si="34"/>
        <v>12.254171428571427</v>
      </c>
      <c r="F86" s="59">
        <f t="shared" si="29"/>
        <v>0.52</v>
      </c>
      <c r="G86" s="57">
        <f t="shared" si="35"/>
        <v>0.52</v>
      </c>
      <c r="H86" s="59">
        <f t="shared" si="30"/>
        <v>0.32</v>
      </c>
      <c r="I86" s="60">
        <f t="shared" si="36"/>
        <v>1.9831730769230781E-3</v>
      </c>
      <c r="J86" s="60">
        <f t="shared" si="41"/>
        <v>0.15072115384615384</v>
      </c>
      <c r="K86" s="160">
        <f t="shared" si="37"/>
        <v>150.72115384615384</v>
      </c>
      <c r="L86" s="131">
        <f t="shared" si="38"/>
        <v>0.61538461538461542</v>
      </c>
      <c r="M86" s="58">
        <f t="shared" si="31"/>
        <v>1.9756952380952375</v>
      </c>
      <c r="N86" s="58">
        <f t="shared" si="39"/>
        <v>6.1081730769230813E-3</v>
      </c>
      <c r="O86" s="58">
        <f t="shared" si="40"/>
        <v>3.08</v>
      </c>
      <c r="P86" s="58">
        <f t="shared" si="32"/>
        <v>3.7907692307692309</v>
      </c>
      <c r="Q86" s="58">
        <f t="shared" si="33"/>
        <v>2.3692307692307693</v>
      </c>
    </row>
    <row r="87" spans="1:17">
      <c r="A87" s="58">
        <f t="shared" si="26"/>
        <v>22</v>
      </c>
      <c r="B87" s="61">
        <f t="shared" si="27"/>
        <v>16.28846153846154</v>
      </c>
      <c r="C87" s="59">
        <f t="shared" si="28"/>
        <v>0.2</v>
      </c>
      <c r="D87" s="64">
        <f>B2</f>
        <v>72.582399999999993</v>
      </c>
      <c r="E87" s="57">
        <f t="shared" si="34"/>
        <v>12.708029629629632</v>
      </c>
      <c r="F87" s="59">
        <f t="shared" si="29"/>
        <v>0.52</v>
      </c>
      <c r="G87" s="57">
        <f t="shared" si="35"/>
        <v>0.52</v>
      </c>
      <c r="H87" s="59">
        <f t="shared" si="30"/>
        <v>0.32</v>
      </c>
      <c r="I87" s="60">
        <f t="shared" si="36"/>
        <v>1.983173076923095E-3</v>
      </c>
      <c r="J87" s="60">
        <f t="shared" si="41"/>
        <v>0.15270432692307692</v>
      </c>
      <c r="K87" s="160">
        <f t="shared" si="37"/>
        <v>152.70432692307693</v>
      </c>
      <c r="L87" s="131">
        <f t="shared" si="38"/>
        <v>0.61538461538461542</v>
      </c>
      <c r="M87" s="58">
        <f t="shared" si="31"/>
        <v>2.0513382716049384</v>
      </c>
      <c r="N87" s="58">
        <f t="shared" si="39"/>
        <v>5.8900240384615905E-3</v>
      </c>
      <c r="O87" s="58">
        <f t="shared" si="40"/>
        <v>2.9699999999999993</v>
      </c>
      <c r="P87" s="58">
        <f t="shared" si="32"/>
        <v>3.6553846153846146</v>
      </c>
      <c r="Q87" s="58">
        <f t="shared" si="33"/>
        <v>2.284615384615384</v>
      </c>
    </row>
    <row r="88" spans="1:17">
      <c r="A88" s="58">
        <f t="shared" si="26"/>
        <v>22</v>
      </c>
      <c r="B88" s="61">
        <f t="shared" si="27"/>
        <v>16.5</v>
      </c>
      <c r="C88" s="59">
        <f t="shared" si="28"/>
        <v>0.2</v>
      </c>
      <c r="D88" s="64">
        <f>B2</f>
        <v>72.582399999999993</v>
      </c>
      <c r="E88" s="57">
        <f t="shared" si="34"/>
        <v>13.196799999999998</v>
      </c>
      <c r="F88" s="59">
        <f t="shared" si="29"/>
        <v>0.52</v>
      </c>
      <c r="G88" s="57">
        <f t="shared" si="35"/>
        <v>0.52</v>
      </c>
      <c r="H88" s="59">
        <f t="shared" si="30"/>
        <v>0.32</v>
      </c>
      <c r="I88" s="60">
        <f t="shared" si="36"/>
        <v>1.9831730769230616E-3</v>
      </c>
      <c r="J88" s="60">
        <f t="shared" si="41"/>
        <v>0.15468749999999998</v>
      </c>
      <c r="K88" s="160">
        <f t="shared" si="37"/>
        <v>154.68749999999997</v>
      </c>
      <c r="L88" s="131">
        <f t="shared" si="38"/>
        <v>0.61538461538461542</v>
      </c>
      <c r="M88" s="58">
        <f t="shared" si="31"/>
        <v>2.1327999999999996</v>
      </c>
      <c r="N88" s="58">
        <f t="shared" si="39"/>
        <v>5.6718749999999565E-3</v>
      </c>
      <c r="O88" s="58">
        <f t="shared" si="40"/>
        <v>2.8600000000000003</v>
      </c>
      <c r="P88" s="58">
        <f t="shared" si="32"/>
        <v>3.52</v>
      </c>
      <c r="Q88" s="58">
        <f t="shared" si="33"/>
        <v>2.2000000000000002</v>
      </c>
    </row>
    <row r="89" spans="1:17">
      <c r="A89" s="58">
        <f t="shared" si="26"/>
        <v>22</v>
      </c>
      <c r="B89" s="61">
        <f t="shared" si="27"/>
        <v>16.71153846153846</v>
      </c>
      <c r="C89" s="59">
        <f t="shared" si="28"/>
        <v>0.2</v>
      </c>
      <c r="D89" s="64">
        <f>B2</f>
        <v>72.582399999999993</v>
      </c>
      <c r="E89" s="57">
        <f t="shared" si="34"/>
        <v>13.724671999999995</v>
      </c>
      <c r="F89" s="59">
        <f t="shared" si="29"/>
        <v>0.52</v>
      </c>
      <c r="G89" s="57">
        <f t="shared" si="35"/>
        <v>0.52</v>
      </c>
      <c r="H89" s="59">
        <f t="shared" si="30"/>
        <v>0.32</v>
      </c>
      <c r="I89" s="60">
        <f t="shared" si="36"/>
        <v>1.9831730769230616E-3</v>
      </c>
      <c r="J89" s="60">
        <f t="shared" si="41"/>
        <v>0.15667067307692303</v>
      </c>
      <c r="K89" s="160">
        <f t="shared" si="37"/>
        <v>156.67067307692304</v>
      </c>
      <c r="L89" s="131">
        <f t="shared" si="38"/>
        <v>0.61538461538461542</v>
      </c>
      <c r="M89" s="58">
        <f t="shared" si="31"/>
        <v>2.2207786666666656</v>
      </c>
      <c r="N89" s="58">
        <f t="shared" si="39"/>
        <v>5.4537259615384213E-3</v>
      </c>
      <c r="O89" s="58">
        <f t="shared" si="40"/>
        <v>2.7500000000000009</v>
      </c>
      <c r="P89" s="58">
        <f t="shared" si="32"/>
        <v>3.3846153846153859</v>
      </c>
      <c r="Q89" s="58">
        <f t="shared" si="33"/>
        <v>2.1153846153846163</v>
      </c>
    </row>
    <row r="90" spans="1:17">
      <c r="A90" s="58">
        <f t="shared" si="26"/>
        <v>22</v>
      </c>
      <c r="B90" s="61">
        <f t="shared" si="27"/>
        <v>16.923076923076923</v>
      </c>
      <c r="C90" s="59">
        <f t="shared" si="28"/>
        <v>0.2</v>
      </c>
      <c r="D90" s="64">
        <f>B2</f>
        <v>72.582399999999993</v>
      </c>
      <c r="E90" s="57">
        <f t="shared" si="34"/>
        <v>14.296533333333333</v>
      </c>
      <c r="F90" s="59">
        <f t="shared" si="29"/>
        <v>0.52</v>
      </c>
      <c r="G90" s="57">
        <f t="shared" si="35"/>
        <v>0.52</v>
      </c>
      <c r="H90" s="59">
        <f t="shared" si="30"/>
        <v>0.32</v>
      </c>
      <c r="I90" s="60">
        <f t="shared" si="36"/>
        <v>1.983173076923095E-3</v>
      </c>
      <c r="J90" s="60">
        <f t="shared" si="41"/>
        <v>0.15865384615384612</v>
      </c>
      <c r="K90" s="160">
        <f t="shared" si="37"/>
        <v>158.6538461538461</v>
      </c>
      <c r="L90" s="131">
        <f t="shared" si="38"/>
        <v>0.61538461538461542</v>
      </c>
      <c r="M90" s="58">
        <f t="shared" si="31"/>
        <v>2.3160888888888889</v>
      </c>
      <c r="N90" s="58">
        <f t="shared" si="39"/>
        <v>5.2355769230769704E-3</v>
      </c>
      <c r="O90" s="58">
        <f t="shared" si="40"/>
        <v>2.64</v>
      </c>
      <c r="P90" s="58">
        <f t="shared" si="32"/>
        <v>3.2492307692307691</v>
      </c>
      <c r="Q90" s="58">
        <f t="shared" si="33"/>
        <v>2.0307692307692307</v>
      </c>
    </row>
    <row r="91" spans="1:17">
      <c r="A91" s="58">
        <f t="shared" si="26"/>
        <v>22</v>
      </c>
      <c r="B91" s="61">
        <f t="shared" si="27"/>
        <v>17.134615384615383</v>
      </c>
      <c r="C91" s="59">
        <f t="shared" si="28"/>
        <v>0.2</v>
      </c>
      <c r="D91" s="64">
        <f>B2</f>
        <v>72.582399999999993</v>
      </c>
      <c r="E91" s="57">
        <f t="shared" si="34"/>
        <v>14.918121739130429</v>
      </c>
      <c r="F91" s="59">
        <f t="shared" si="29"/>
        <v>0.52</v>
      </c>
      <c r="G91" s="57">
        <f t="shared" si="35"/>
        <v>0.52</v>
      </c>
      <c r="H91" s="59">
        <f t="shared" si="30"/>
        <v>0.32</v>
      </c>
      <c r="I91" s="60">
        <f t="shared" si="36"/>
        <v>1.9831730769230616E-3</v>
      </c>
      <c r="J91" s="60">
        <f t="shared" si="41"/>
        <v>0.16063701923076917</v>
      </c>
      <c r="K91" s="160">
        <f t="shared" si="37"/>
        <v>160.63701923076917</v>
      </c>
      <c r="L91" s="131">
        <f t="shared" si="38"/>
        <v>0.61538461538461542</v>
      </c>
      <c r="M91" s="58">
        <f t="shared" si="31"/>
        <v>2.4196869565217378</v>
      </c>
      <c r="N91" s="58">
        <f t="shared" si="39"/>
        <v>5.0174278846153476E-3</v>
      </c>
      <c r="O91" s="58">
        <f t="shared" si="40"/>
        <v>2.5300000000000007</v>
      </c>
      <c r="P91" s="58">
        <f t="shared" si="32"/>
        <v>3.1138461538461546</v>
      </c>
      <c r="Q91" s="58">
        <f t="shared" si="33"/>
        <v>1.9461538461538468</v>
      </c>
    </row>
    <row r="92" spans="1:17">
      <c r="A92" s="58">
        <f t="shared" si="26"/>
        <v>22</v>
      </c>
      <c r="B92" s="61">
        <f t="shared" si="27"/>
        <v>17.346153846153847</v>
      </c>
      <c r="C92" s="59">
        <f t="shared" si="28"/>
        <v>0.2</v>
      </c>
      <c r="D92" s="64">
        <f>B2</f>
        <v>72.582399999999993</v>
      </c>
      <c r="E92" s="57">
        <f t="shared" si="34"/>
        <v>15.596218181818182</v>
      </c>
      <c r="F92" s="59">
        <f t="shared" si="29"/>
        <v>0.52</v>
      </c>
      <c r="G92" s="57">
        <f t="shared" si="35"/>
        <v>0.52</v>
      </c>
      <c r="H92" s="59">
        <f t="shared" si="30"/>
        <v>0.32</v>
      </c>
      <c r="I92" s="60">
        <f t="shared" si="36"/>
        <v>1.983173076923095E-3</v>
      </c>
      <c r="J92" s="60">
        <f t="shared" si="41"/>
        <v>0.16262019230769226</v>
      </c>
      <c r="K92" s="160">
        <f t="shared" si="37"/>
        <v>162.62019230769226</v>
      </c>
      <c r="L92" s="131">
        <f t="shared" si="38"/>
        <v>0.61538461538461542</v>
      </c>
      <c r="M92" s="58">
        <f t="shared" si="31"/>
        <v>2.5327030303030305</v>
      </c>
      <c r="N92" s="58">
        <f t="shared" si="39"/>
        <v>4.7992788461538888E-3</v>
      </c>
      <c r="O92" s="58">
        <f t="shared" si="40"/>
        <v>2.42</v>
      </c>
      <c r="P92" s="58">
        <f t="shared" si="32"/>
        <v>2.9784615384615383</v>
      </c>
      <c r="Q92" s="58">
        <f t="shared" si="33"/>
        <v>1.8615384615384614</v>
      </c>
    </row>
    <row r="93" spans="1:17">
      <c r="A93" s="58">
        <f t="shared" si="26"/>
        <v>22</v>
      </c>
      <c r="B93" s="61">
        <f t="shared" si="27"/>
        <v>17.55769230769231</v>
      </c>
      <c r="C93" s="59">
        <f t="shared" si="28"/>
        <v>0.2</v>
      </c>
      <c r="D93" s="64">
        <f>B2</f>
        <v>72.582399999999993</v>
      </c>
      <c r="E93" s="57">
        <f t="shared" si="34"/>
        <v>16.338895238095244</v>
      </c>
      <c r="F93" s="59">
        <f t="shared" si="29"/>
        <v>0.52</v>
      </c>
      <c r="G93" s="57">
        <f t="shared" si="35"/>
        <v>0.52</v>
      </c>
      <c r="H93" s="59">
        <f t="shared" si="30"/>
        <v>0.32</v>
      </c>
      <c r="I93" s="60">
        <f t="shared" si="36"/>
        <v>1.983173076923095E-3</v>
      </c>
      <c r="J93" s="60">
        <f t="shared" si="41"/>
        <v>0.16460336538461534</v>
      </c>
      <c r="K93" s="160">
        <f t="shared" si="37"/>
        <v>164.60336538461533</v>
      </c>
      <c r="L93" s="131">
        <f t="shared" si="38"/>
        <v>0.61538461538461542</v>
      </c>
      <c r="M93" s="58">
        <f t="shared" si="31"/>
        <v>2.6564825396825404</v>
      </c>
      <c r="N93" s="58">
        <f t="shared" si="39"/>
        <v>4.5811298076923468E-3</v>
      </c>
      <c r="O93" s="58">
        <f t="shared" si="40"/>
        <v>2.3099999999999987</v>
      </c>
      <c r="P93" s="58">
        <f t="shared" si="32"/>
        <v>2.8430769230769215</v>
      </c>
      <c r="Q93" s="58">
        <f t="shared" si="33"/>
        <v>1.7769230769230759</v>
      </c>
    </row>
    <row r="94" spans="1:17">
      <c r="A94" s="58">
        <f t="shared" si="26"/>
        <v>22</v>
      </c>
      <c r="B94" s="61">
        <f t="shared" si="27"/>
        <v>17.76923076923077</v>
      </c>
      <c r="C94" s="59">
        <f t="shared" si="28"/>
        <v>0.2</v>
      </c>
      <c r="D94" s="64">
        <f>B2</f>
        <v>72.582399999999993</v>
      </c>
      <c r="E94" s="57">
        <f t="shared" si="34"/>
        <v>17.155840000000001</v>
      </c>
      <c r="F94" s="59">
        <f t="shared" si="29"/>
        <v>0.52</v>
      </c>
      <c r="G94" s="57">
        <f t="shared" si="35"/>
        <v>0.52</v>
      </c>
      <c r="H94" s="59">
        <f t="shared" si="30"/>
        <v>0.32</v>
      </c>
      <c r="I94" s="60">
        <f t="shared" si="36"/>
        <v>1.9831730769230616E-3</v>
      </c>
      <c r="J94" s="60">
        <f t="shared" si="41"/>
        <v>0.1665865384615384</v>
      </c>
      <c r="K94" s="160">
        <f t="shared" si="37"/>
        <v>166.5865384615384</v>
      </c>
      <c r="L94" s="131">
        <f t="shared" si="38"/>
        <v>0.61538461538461542</v>
      </c>
      <c r="M94" s="58">
        <f t="shared" si="31"/>
        <v>2.7926400000000005</v>
      </c>
      <c r="N94" s="58">
        <f t="shared" si="39"/>
        <v>4.3629807692307345E-3</v>
      </c>
      <c r="O94" s="58">
        <f t="shared" si="40"/>
        <v>2.1999999999999997</v>
      </c>
      <c r="P94" s="58">
        <f t="shared" si="32"/>
        <v>2.7076923076923074</v>
      </c>
      <c r="Q94" s="58">
        <f t="shared" si="33"/>
        <v>1.6923076923076921</v>
      </c>
    </row>
    <row r="95" spans="1:17">
      <c r="A95" s="58">
        <f t="shared" si="26"/>
        <v>22</v>
      </c>
      <c r="B95" s="61">
        <f t="shared" si="27"/>
        <v>17.98076923076923</v>
      </c>
      <c r="C95" s="59">
        <f t="shared" si="28"/>
        <v>0.2</v>
      </c>
      <c r="D95" s="64">
        <f>B2</f>
        <v>72.582399999999993</v>
      </c>
      <c r="E95" s="57">
        <f t="shared" si="34"/>
        <v>18.058778947368417</v>
      </c>
      <c r="F95" s="59">
        <f t="shared" si="29"/>
        <v>0.52</v>
      </c>
      <c r="G95" s="57">
        <f t="shared" si="35"/>
        <v>0.52</v>
      </c>
      <c r="H95" s="59">
        <f t="shared" si="30"/>
        <v>0.32</v>
      </c>
      <c r="I95" s="60">
        <f t="shared" si="36"/>
        <v>1.9831730769230616E-3</v>
      </c>
      <c r="J95" s="60">
        <f t="shared" si="41"/>
        <v>0.16856971153846145</v>
      </c>
      <c r="K95" s="160">
        <f t="shared" si="37"/>
        <v>168.56971153846146</v>
      </c>
      <c r="L95" s="131">
        <f t="shared" si="38"/>
        <v>0.61538461538461542</v>
      </c>
      <c r="M95" s="58">
        <f t="shared" si="31"/>
        <v>2.943129824561403</v>
      </c>
      <c r="N95" s="58">
        <f t="shared" si="39"/>
        <v>4.1448317307691994E-3</v>
      </c>
      <c r="O95" s="58">
        <f t="shared" si="40"/>
        <v>2.0900000000000003</v>
      </c>
      <c r="P95" s="58">
        <f t="shared" si="32"/>
        <v>2.5723076923076929</v>
      </c>
      <c r="Q95" s="58">
        <f t="shared" si="33"/>
        <v>1.6076923076923082</v>
      </c>
    </row>
    <row r="96" spans="1:17">
      <c r="A96" s="58">
        <f t="shared" si="26"/>
        <v>22</v>
      </c>
      <c r="B96" s="61">
        <f t="shared" si="27"/>
        <v>18.19230769230769</v>
      </c>
      <c r="C96" s="59">
        <f t="shared" si="28"/>
        <v>0.2</v>
      </c>
      <c r="D96" s="64">
        <f>B2</f>
        <v>72.582399999999993</v>
      </c>
      <c r="E96" s="57">
        <f t="shared" si="34"/>
        <v>19.062044444444432</v>
      </c>
      <c r="F96" s="59">
        <f t="shared" si="29"/>
        <v>0.52</v>
      </c>
      <c r="G96" s="57">
        <f t="shared" si="35"/>
        <v>0.52</v>
      </c>
      <c r="H96" s="59">
        <f t="shared" si="30"/>
        <v>0.32</v>
      </c>
      <c r="I96" s="60">
        <f t="shared" si="36"/>
        <v>1.9831730769230616E-3</v>
      </c>
      <c r="J96" s="60">
        <f t="shared" si="41"/>
        <v>0.17055288461538451</v>
      </c>
      <c r="K96" s="160">
        <f t="shared" si="37"/>
        <v>170.5528846153845</v>
      </c>
      <c r="L96" s="131">
        <f t="shared" si="38"/>
        <v>0.61538461538461542</v>
      </c>
      <c r="M96" s="58">
        <f t="shared" si="31"/>
        <v>3.1103407407407389</v>
      </c>
      <c r="N96" s="58">
        <f t="shared" si="39"/>
        <v>3.9266826923076642E-3</v>
      </c>
      <c r="O96" s="58">
        <f t="shared" si="40"/>
        <v>1.9800000000000013</v>
      </c>
      <c r="P96" s="58">
        <f t="shared" si="32"/>
        <v>2.4369230769230787</v>
      </c>
      <c r="Q96" s="58">
        <f t="shared" si="33"/>
        <v>1.5230769230769241</v>
      </c>
    </row>
    <row r="97" spans="1:17">
      <c r="A97" s="58">
        <f t="shared" si="26"/>
        <v>22</v>
      </c>
      <c r="B97" s="61">
        <f t="shared" si="27"/>
        <v>18.403846153846153</v>
      </c>
      <c r="C97" s="59">
        <f t="shared" si="28"/>
        <v>0.2</v>
      </c>
      <c r="D97" s="64">
        <f>B2</f>
        <v>72.582399999999993</v>
      </c>
      <c r="E97" s="57">
        <f t="shared" si="34"/>
        <v>20.183341176470584</v>
      </c>
      <c r="F97" s="59">
        <f t="shared" si="29"/>
        <v>0.52</v>
      </c>
      <c r="G97" s="57">
        <f t="shared" si="35"/>
        <v>0.52</v>
      </c>
      <c r="H97" s="59">
        <f t="shared" si="30"/>
        <v>0.32</v>
      </c>
      <c r="I97" s="60">
        <f t="shared" si="36"/>
        <v>1.983173076923095E-3</v>
      </c>
      <c r="J97" s="60">
        <f t="shared" si="41"/>
        <v>0.17253605769230759</v>
      </c>
      <c r="K97" s="160">
        <f t="shared" si="37"/>
        <v>172.53605769230759</v>
      </c>
      <c r="L97" s="131">
        <f t="shared" si="38"/>
        <v>0.61538461538461542</v>
      </c>
      <c r="M97" s="58">
        <f t="shared" si="31"/>
        <v>3.297223529411764</v>
      </c>
      <c r="N97" s="58">
        <f t="shared" si="39"/>
        <v>3.7085336538461881E-3</v>
      </c>
      <c r="O97" s="58">
        <f t="shared" si="40"/>
        <v>1.8700000000000003</v>
      </c>
      <c r="P97" s="58">
        <f t="shared" si="32"/>
        <v>2.301538461538462</v>
      </c>
      <c r="Q97" s="58">
        <f t="shared" si="33"/>
        <v>1.4384615384615387</v>
      </c>
    </row>
    <row r="98" spans="1:17">
      <c r="A98" s="58">
        <f t="shared" si="26"/>
        <v>22</v>
      </c>
      <c r="B98" s="61">
        <f t="shared" si="27"/>
        <v>18.615384615384617</v>
      </c>
      <c r="C98" s="59">
        <f t="shared" si="28"/>
        <v>0.2</v>
      </c>
      <c r="D98" s="64">
        <f>B2</f>
        <v>72.582399999999993</v>
      </c>
      <c r="E98" s="57">
        <f t="shared" si="34"/>
        <v>21.444800000000008</v>
      </c>
      <c r="F98" s="59">
        <f t="shared" si="29"/>
        <v>0.52</v>
      </c>
      <c r="G98" s="57">
        <f t="shared" si="35"/>
        <v>0.52</v>
      </c>
      <c r="H98" s="59">
        <f t="shared" si="30"/>
        <v>0.32</v>
      </c>
      <c r="I98" s="60">
        <f t="shared" si="36"/>
        <v>1.983173076923095E-3</v>
      </c>
      <c r="J98" s="60">
        <f t="shared" si="41"/>
        <v>0.17451923076923068</v>
      </c>
      <c r="K98" s="160">
        <f t="shared" si="37"/>
        <v>174.51923076923069</v>
      </c>
      <c r="L98" s="131">
        <f t="shared" si="38"/>
        <v>0.61538461538461542</v>
      </c>
      <c r="M98" s="58">
        <f t="shared" si="31"/>
        <v>3.5074666666666681</v>
      </c>
      <c r="N98" s="58">
        <f t="shared" si="39"/>
        <v>3.4903846153846456E-3</v>
      </c>
      <c r="O98" s="58">
        <f t="shared" si="40"/>
        <v>1.7599999999999993</v>
      </c>
      <c r="P98" s="58">
        <f t="shared" si="32"/>
        <v>2.1661538461538452</v>
      </c>
      <c r="Q98" s="58">
        <f t="shared" si="33"/>
        <v>1.3538461538461535</v>
      </c>
    </row>
    <row r="99" spans="1:17">
      <c r="A99" s="58">
        <f t="shared" si="26"/>
        <v>22</v>
      </c>
      <c r="B99" s="61">
        <f t="shared" si="27"/>
        <v>18.826923076923077</v>
      </c>
      <c r="C99" s="59">
        <f t="shared" si="28"/>
        <v>0.2</v>
      </c>
      <c r="D99" s="64">
        <f>B2</f>
        <v>72.582399999999993</v>
      </c>
      <c r="E99" s="57">
        <f t="shared" si="34"/>
        <v>22.681999999999999</v>
      </c>
      <c r="F99" s="59">
        <f t="shared" si="29"/>
        <v>0.52</v>
      </c>
      <c r="G99" s="57">
        <f t="shared" si="35"/>
        <v>0.52</v>
      </c>
      <c r="H99" s="59">
        <f t="shared" si="30"/>
        <v>0.32</v>
      </c>
      <c r="I99" s="60">
        <f t="shared" si="36"/>
        <v>1.9831730769230616E-3</v>
      </c>
      <c r="J99" s="60">
        <f t="shared" si="41"/>
        <v>0.17650240384615373</v>
      </c>
      <c r="K99" s="160">
        <f t="shared" si="37"/>
        <v>176.50240384615373</v>
      </c>
      <c r="L99" s="131">
        <f t="shared" si="38"/>
        <v>0.61538461538461542</v>
      </c>
      <c r="M99" s="58">
        <f t="shared" si="31"/>
        <v>3.7136666666666662</v>
      </c>
      <c r="N99" s="58">
        <f t="shared" si="39"/>
        <v>3.2722355769230519E-3</v>
      </c>
      <c r="O99" s="58">
        <f t="shared" si="40"/>
        <v>1.6500000000000001</v>
      </c>
      <c r="P99" s="58">
        <f t="shared" si="32"/>
        <v>2.0307692307692311</v>
      </c>
      <c r="Q99" s="58">
        <f t="shared" si="33"/>
        <v>1.2692307692307694</v>
      </c>
    </row>
    <row r="100" spans="1:17">
      <c r="A100" s="58">
        <f t="shared" si="26"/>
        <v>22</v>
      </c>
      <c r="B100" s="61">
        <f t="shared" si="27"/>
        <v>19.03846153846154</v>
      </c>
      <c r="C100" s="59">
        <f t="shared" si="28"/>
        <v>0.2</v>
      </c>
      <c r="D100" s="64">
        <f>B2</f>
        <v>72.582399999999993</v>
      </c>
      <c r="E100" s="57">
        <f t="shared" si="34"/>
        <v>22.681999999999999</v>
      </c>
      <c r="F100" s="59">
        <f t="shared" si="29"/>
        <v>0.52</v>
      </c>
      <c r="G100" s="57">
        <f t="shared" si="35"/>
        <v>0.52</v>
      </c>
      <c r="H100" s="59">
        <f t="shared" si="30"/>
        <v>0.32</v>
      </c>
      <c r="I100" s="60">
        <f t="shared" si="36"/>
        <v>1.983173076923095E-3</v>
      </c>
      <c r="J100" s="60">
        <f t="shared" si="41"/>
        <v>0.17848557692307682</v>
      </c>
      <c r="K100" s="160">
        <f t="shared" si="37"/>
        <v>178.48557692307682</v>
      </c>
      <c r="L100" s="131">
        <f t="shared" si="38"/>
        <v>0.61538461538461542</v>
      </c>
      <c r="M100" s="58">
        <f t="shared" si="31"/>
        <v>3.7136666666666662</v>
      </c>
      <c r="N100" s="58">
        <f t="shared" si="39"/>
        <v>3.0540865384615645E-3</v>
      </c>
      <c r="O100" s="58">
        <f t="shared" si="40"/>
        <v>1.5399999999999991</v>
      </c>
      <c r="P100" s="58">
        <f t="shared" si="32"/>
        <v>1.8953846153846143</v>
      </c>
      <c r="Q100" s="58">
        <f t="shared" si="33"/>
        <v>1.184615384615384</v>
      </c>
    </row>
    <row r="101" spans="1:17">
      <c r="A101" s="58">
        <f t="shared" si="26"/>
        <v>22</v>
      </c>
      <c r="B101" s="61">
        <f t="shared" si="27"/>
        <v>19.25</v>
      </c>
      <c r="C101" s="59">
        <f t="shared" si="28"/>
        <v>0.2</v>
      </c>
      <c r="D101" s="64">
        <f>B2</f>
        <v>72.582399999999993</v>
      </c>
      <c r="E101" s="57">
        <f t="shared" si="34"/>
        <v>22.681999999999999</v>
      </c>
      <c r="F101" s="59">
        <f t="shared" si="29"/>
        <v>0.52</v>
      </c>
      <c r="G101" s="57">
        <f t="shared" si="35"/>
        <v>0.52</v>
      </c>
      <c r="H101" s="59">
        <f t="shared" si="30"/>
        <v>0.32</v>
      </c>
      <c r="I101" s="60">
        <f t="shared" si="36"/>
        <v>1.9831730769230616E-3</v>
      </c>
      <c r="J101" s="60">
        <f t="shared" si="41"/>
        <v>0.18046874999999987</v>
      </c>
      <c r="K101" s="160">
        <f t="shared" si="37"/>
        <v>180.46874999999989</v>
      </c>
      <c r="L101" s="131">
        <f t="shared" si="38"/>
        <v>0.61538461538461542</v>
      </c>
      <c r="M101" s="58">
        <f t="shared" si="31"/>
        <v>3.7136666666666662</v>
      </c>
      <c r="N101" s="58">
        <f t="shared" si="39"/>
        <v>2.8359374999999782E-3</v>
      </c>
      <c r="O101" s="58">
        <f t="shared" si="40"/>
        <v>1.4300000000000002</v>
      </c>
      <c r="P101" s="58">
        <f t="shared" si="32"/>
        <v>1.76</v>
      </c>
      <c r="Q101" s="58">
        <f t="shared" si="33"/>
        <v>1.1000000000000001</v>
      </c>
    </row>
    <row r="102" spans="1:17">
      <c r="A102" s="58">
        <f t="shared" si="26"/>
        <v>22</v>
      </c>
      <c r="B102" s="61">
        <f t="shared" si="27"/>
        <v>19.46153846153846</v>
      </c>
      <c r="C102" s="59">
        <f t="shared" si="28"/>
        <v>0.2</v>
      </c>
      <c r="D102" s="64">
        <f>B2</f>
        <v>72.582399999999993</v>
      </c>
      <c r="E102" s="57">
        <f t="shared" si="34"/>
        <v>22.681999999999999</v>
      </c>
      <c r="F102" s="59">
        <f t="shared" si="29"/>
        <v>0.52</v>
      </c>
      <c r="G102" s="57">
        <f t="shared" si="35"/>
        <v>0.52</v>
      </c>
      <c r="H102" s="59">
        <f t="shared" si="30"/>
        <v>0.32</v>
      </c>
      <c r="I102" s="60">
        <f t="shared" si="36"/>
        <v>1.9831730769230616E-3</v>
      </c>
      <c r="J102" s="60">
        <f t="shared" si="41"/>
        <v>0.18245192307692293</v>
      </c>
      <c r="K102" s="160">
        <f t="shared" si="37"/>
        <v>182.45192307692292</v>
      </c>
      <c r="L102" s="131">
        <f t="shared" si="38"/>
        <v>0.61538461538461542</v>
      </c>
      <c r="M102" s="58">
        <f t="shared" si="31"/>
        <v>3.7136666666666662</v>
      </c>
      <c r="N102" s="58">
        <f t="shared" si="39"/>
        <v>2.6177884615384431E-3</v>
      </c>
      <c r="O102" s="58">
        <f t="shared" si="40"/>
        <v>1.320000000000001</v>
      </c>
      <c r="P102" s="58">
        <f t="shared" si="32"/>
        <v>1.6246153846153857</v>
      </c>
      <c r="Q102" s="58">
        <f t="shared" si="33"/>
        <v>1.015384615384616</v>
      </c>
    </row>
    <row r="103" spans="1:17">
      <c r="A103" s="58">
        <f t="shared" si="26"/>
        <v>22</v>
      </c>
      <c r="B103" s="61">
        <f t="shared" si="27"/>
        <v>19.673076923076923</v>
      </c>
      <c r="C103" s="59">
        <f t="shared" si="28"/>
        <v>0.2</v>
      </c>
      <c r="D103" s="64">
        <f>B2</f>
        <v>72.582399999999993</v>
      </c>
      <c r="E103" s="57">
        <f t="shared" si="34"/>
        <v>22.681999999999999</v>
      </c>
      <c r="F103" s="59">
        <f t="shared" si="29"/>
        <v>0.52</v>
      </c>
      <c r="G103" s="57">
        <f t="shared" si="35"/>
        <v>0.52</v>
      </c>
      <c r="H103" s="59">
        <f t="shared" si="30"/>
        <v>0.32</v>
      </c>
      <c r="I103" s="60">
        <f t="shared" si="36"/>
        <v>1.983173076923095E-3</v>
      </c>
      <c r="J103" s="60">
        <f t="shared" si="41"/>
        <v>0.18443509615384601</v>
      </c>
      <c r="K103" s="160">
        <f t="shared" si="37"/>
        <v>184.43509615384602</v>
      </c>
      <c r="L103" s="131">
        <f t="shared" si="38"/>
        <v>0.61538461538461542</v>
      </c>
      <c r="M103" s="58">
        <f t="shared" si="31"/>
        <v>3.7136666666666662</v>
      </c>
      <c r="N103" s="58">
        <f t="shared" si="39"/>
        <v>2.3996394230769444E-3</v>
      </c>
      <c r="O103" s="58">
        <f t="shared" si="40"/>
        <v>1.21</v>
      </c>
      <c r="P103" s="58">
        <f t="shared" si="32"/>
        <v>1.4892307692307691</v>
      </c>
      <c r="Q103" s="58">
        <f t="shared" si="33"/>
        <v>0.93076923076923068</v>
      </c>
    </row>
    <row r="104" spans="1:17">
      <c r="A104" s="58">
        <f t="shared" si="26"/>
        <v>22</v>
      </c>
      <c r="B104" s="61">
        <f t="shared" si="27"/>
        <v>19.884615384615383</v>
      </c>
      <c r="C104" s="59">
        <f t="shared" si="28"/>
        <v>0.2</v>
      </c>
      <c r="D104" s="64">
        <f>B2</f>
        <v>72.582399999999993</v>
      </c>
      <c r="E104" s="57">
        <f t="shared" si="34"/>
        <v>22.681999999999999</v>
      </c>
      <c r="F104" s="59">
        <f t="shared" si="29"/>
        <v>0.52</v>
      </c>
      <c r="G104" s="57">
        <f t="shared" si="35"/>
        <v>0.52</v>
      </c>
      <c r="H104" s="59">
        <f t="shared" si="30"/>
        <v>0.32</v>
      </c>
      <c r="I104" s="60">
        <f t="shared" si="36"/>
        <v>1.9831730769230616E-3</v>
      </c>
      <c r="J104" s="60">
        <f t="shared" si="41"/>
        <v>0.18641826923076907</v>
      </c>
      <c r="K104" s="160">
        <f t="shared" si="37"/>
        <v>186.41826923076906</v>
      </c>
      <c r="L104" s="131">
        <f t="shared" si="38"/>
        <v>0.61538461538461542</v>
      </c>
      <c r="M104" s="58">
        <f t="shared" si="31"/>
        <v>3.7136666666666662</v>
      </c>
      <c r="N104" s="58">
        <f t="shared" si="39"/>
        <v>2.181490384615369E-3</v>
      </c>
      <c r="O104" s="58">
        <f t="shared" si="40"/>
        <v>1.1000000000000008</v>
      </c>
      <c r="P104" s="58">
        <f t="shared" si="32"/>
        <v>1.3538461538461548</v>
      </c>
      <c r="Q104" s="58">
        <f t="shared" si="33"/>
        <v>0.8461538461538467</v>
      </c>
    </row>
    <row r="105" spans="1:17">
      <c r="A105" s="58">
        <f t="shared" si="26"/>
        <v>22</v>
      </c>
      <c r="B105" s="61">
        <f t="shared" si="27"/>
        <v>20.096153846153847</v>
      </c>
      <c r="C105" s="59">
        <f t="shared" si="28"/>
        <v>0.2</v>
      </c>
      <c r="D105" s="64">
        <f>B2</f>
        <v>72.582399999999993</v>
      </c>
      <c r="E105" s="57">
        <f t="shared" si="34"/>
        <v>22.681999999999999</v>
      </c>
      <c r="F105" s="59">
        <f t="shared" si="29"/>
        <v>0.52</v>
      </c>
      <c r="G105" s="57">
        <f t="shared" si="35"/>
        <v>0.52</v>
      </c>
      <c r="H105" s="59">
        <f t="shared" si="30"/>
        <v>0.32</v>
      </c>
      <c r="I105" s="60">
        <f t="shared" si="36"/>
        <v>1.983173076923095E-3</v>
      </c>
      <c r="J105" s="60">
        <f t="shared" si="41"/>
        <v>0.18840144230769215</v>
      </c>
      <c r="K105" s="160">
        <f t="shared" si="37"/>
        <v>188.40144230769215</v>
      </c>
      <c r="L105" s="131">
        <f t="shared" si="38"/>
        <v>0.61538461538461542</v>
      </c>
      <c r="M105" s="58">
        <f t="shared" si="31"/>
        <v>3.7136666666666662</v>
      </c>
      <c r="N105" s="58">
        <f t="shared" si="39"/>
        <v>1.9633413461538633E-3</v>
      </c>
      <c r="O105" s="58">
        <f t="shared" si="40"/>
        <v>0.98999999999999977</v>
      </c>
      <c r="P105" s="58">
        <f t="shared" si="32"/>
        <v>1.218461538461538</v>
      </c>
      <c r="Q105" s="58">
        <f t="shared" si="33"/>
        <v>0.76153846153846139</v>
      </c>
    </row>
    <row r="106" spans="1:17">
      <c r="A106" s="58">
        <f t="shared" ref="A106:A114" si="42">VINMAX</f>
        <v>22</v>
      </c>
      <c r="B106" s="61">
        <f t="shared" ref="B106:B114" si="43">VINMAX*((ROW()-10)/104)</f>
        <v>20.30769230769231</v>
      </c>
      <c r="C106" s="59">
        <f t="shared" ref="C106:C110" si="44">IF(B106&gt;=$H$2,IF($D$2="CC", $G$2, B106/$G$2), 0)</f>
        <v>0.2</v>
      </c>
      <c r="D106" s="64">
        <f>B2</f>
        <v>72.582399999999993</v>
      </c>
      <c r="E106" s="57">
        <f t="shared" si="34"/>
        <v>22.681999999999999</v>
      </c>
      <c r="F106" s="59">
        <f t="shared" ref="F106:F110" si="45">I_Cout_ss+C106</f>
        <v>0.52</v>
      </c>
      <c r="G106" s="57">
        <f t="shared" si="35"/>
        <v>0.52</v>
      </c>
      <c r="H106" s="59">
        <f t="shared" ref="H106:H110" si="46">G106-C106</f>
        <v>0.32</v>
      </c>
      <c r="I106" s="60">
        <f t="shared" si="36"/>
        <v>1.983173076923095E-3</v>
      </c>
      <c r="J106" s="60">
        <f t="shared" si="41"/>
        <v>0.19038461538461524</v>
      </c>
      <c r="K106" s="160">
        <f t="shared" si="37"/>
        <v>190.38461538461524</v>
      </c>
      <c r="L106" s="131">
        <f t="shared" si="38"/>
        <v>0.61538461538461542</v>
      </c>
      <c r="M106" s="58">
        <f t="shared" ref="M106:M114" si="47">1/COUTMAX*(E106/2-C106)*1000</f>
        <v>3.7136666666666662</v>
      </c>
      <c r="N106" s="58">
        <f t="shared" si="39"/>
        <v>1.7451923076923211E-3</v>
      </c>
      <c r="O106" s="58">
        <f t="shared" si="40"/>
        <v>0.87999999999999878</v>
      </c>
      <c r="P106" s="58">
        <f t="shared" ref="P106:P114" si="48">(A106-B106)*(I_Cout_ss*$Q$2+C106)</f>
        <v>1.0830769230769215</v>
      </c>
      <c r="Q106" s="58">
        <f t="shared" ref="Q106:Q114" si="49">(A106-B106)*(I_Cout_ss*$R$2+C106)</f>
        <v>0.67692307692307596</v>
      </c>
    </row>
    <row r="107" spans="1:17">
      <c r="A107" s="58">
        <f t="shared" si="42"/>
        <v>22</v>
      </c>
      <c r="B107" s="61">
        <f t="shared" si="43"/>
        <v>20.51923076923077</v>
      </c>
      <c r="C107" s="59">
        <f t="shared" si="44"/>
        <v>0.2</v>
      </c>
      <c r="D107" s="64">
        <f>B2</f>
        <v>72.582399999999993</v>
      </c>
      <c r="E107" s="57">
        <f t="shared" si="34"/>
        <v>22.681999999999999</v>
      </c>
      <c r="F107" s="59">
        <f t="shared" si="45"/>
        <v>0.52</v>
      </c>
      <c r="G107" s="57">
        <f t="shared" si="35"/>
        <v>0.52</v>
      </c>
      <c r="H107" s="59">
        <f t="shared" si="46"/>
        <v>0.32</v>
      </c>
      <c r="I107" s="60">
        <f t="shared" ref="I107:I110" si="50">(COUTMAX/1000000)*(B107-B106)/H107</f>
        <v>1.9831730769230616E-3</v>
      </c>
      <c r="J107" s="60">
        <f t="shared" si="41"/>
        <v>0.19236778846153829</v>
      </c>
      <c r="K107" s="160">
        <f t="shared" si="37"/>
        <v>192.36778846153828</v>
      </c>
      <c r="L107" s="131">
        <f t="shared" si="38"/>
        <v>0.61538461538461542</v>
      </c>
      <c r="M107" s="58">
        <f t="shared" si="47"/>
        <v>3.7136666666666662</v>
      </c>
      <c r="N107" s="58">
        <f t="shared" si="39"/>
        <v>1.5270432692307567E-3</v>
      </c>
      <c r="O107" s="58">
        <f t="shared" si="40"/>
        <v>0.76999999999999957</v>
      </c>
      <c r="P107" s="58">
        <f t="shared" si="48"/>
        <v>0.94769230769230717</v>
      </c>
      <c r="Q107" s="58">
        <f t="shared" si="49"/>
        <v>0.59230769230769198</v>
      </c>
    </row>
    <row r="108" spans="1:17">
      <c r="A108" s="58">
        <f t="shared" si="42"/>
        <v>22</v>
      </c>
      <c r="B108" s="61">
        <f t="shared" si="43"/>
        <v>20.73076923076923</v>
      </c>
      <c r="C108" s="59">
        <f t="shared" si="44"/>
        <v>0.2</v>
      </c>
      <c r="D108" s="64">
        <f>B2</f>
        <v>72.582399999999993</v>
      </c>
      <c r="E108" s="57">
        <f t="shared" si="34"/>
        <v>22.681999999999999</v>
      </c>
      <c r="F108" s="59">
        <f t="shared" si="45"/>
        <v>0.52</v>
      </c>
      <c r="G108" s="57">
        <f t="shared" si="35"/>
        <v>0.52</v>
      </c>
      <c r="H108" s="59">
        <f t="shared" si="46"/>
        <v>0.32</v>
      </c>
      <c r="I108" s="60">
        <f t="shared" si="50"/>
        <v>1.9831730769230616E-3</v>
      </c>
      <c r="J108" s="60">
        <f t="shared" si="41"/>
        <v>0.19435096153846135</v>
      </c>
      <c r="K108" s="160">
        <f t="shared" si="37"/>
        <v>194.35096153846135</v>
      </c>
      <c r="L108" s="131">
        <f t="shared" si="38"/>
        <v>0.61538461538461542</v>
      </c>
      <c r="M108" s="58">
        <f t="shared" si="47"/>
        <v>3.7136666666666662</v>
      </c>
      <c r="N108" s="58">
        <f t="shared" si="39"/>
        <v>1.3088942307692216E-3</v>
      </c>
      <c r="O108" s="58">
        <f t="shared" si="40"/>
        <v>0.66000000000000048</v>
      </c>
      <c r="P108" s="58">
        <f t="shared" si="48"/>
        <v>0.81230769230769284</v>
      </c>
      <c r="Q108" s="58">
        <f t="shared" si="49"/>
        <v>0.507692307692308</v>
      </c>
    </row>
    <row r="109" spans="1:17">
      <c r="A109" s="58">
        <f t="shared" si="42"/>
        <v>22</v>
      </c>
      <c r="B109" s="61">
        <f t="shared" si="43"/>
        <v>20.94230769230769</v>
      </c>
      <c r="C109" s="59">
        <f t="shared" si="44"/>
        <v>0.2</v>
      </c>
      <c r="D109" s="64">
        <f>B2</f>
        <v>72.582399999999993</v>
      </c>
      <c r="E109" s="57">
        <f t="shared" si="34"/>
        <v>22.681999999999999</v>
      </c>
      <c r="F109" s="59">
        <f t="shared" si="45"/>
        <v>0.52</v>
      </c>
      <c r="G109" s="57">
        <f t="shared" si="35"/>
        <v>0.52</v>
      </c>
      <c r="H109" s="59">
        <f t="shared" si="46"/>
        <v>0.32</v>
      </c>
      <c r="I109" s="60">
        <f t="shared" si="50"/>
        <v>1.9831730769230616E-3</v>
      </c>
      <c r="J109" s="60">
        <f t="shared" si="41"/>
        <v>0.1963341346153844</v>
      </c>
      <c r="K109" s="160">
        <f t="shared" si="37"/>
        <v>196.33413461538441</v>
      </c>
      <c r="L109" s="131">
        <f t="shared" si="38"/>
        <v>0.61538461538461542</v>
      </c>
      <c r="M109" s="58">
        <f t="shared" si="47"/>
        <v>3.7136666666666662</v>
      </c>
      <c r="N109" s="58">
        <f t="shared" si="39"/>
        <v>1.0907451923076864E-3</v>
      </c>
      <c r="O109" s="58">
        <f t="shared" si="40"/>
        <v>0.55000000000000127</v>
      </c>
      <c r="P109" s="58">
        <f t="shared" si="48"/>
        <v>0.67692307692307851</v>
      </c>
      <c r="Q109" s="58">
        <f t="shared" si="49"/>
        <v>0.42307692307692407</v>
      </c>
    </row>
    <row r="110" spans="1:17">
      <c r="A110" s="58">
        <f t="shared" si="42"/>
        <v>22</v>
      </c>
      <c r="B110" s="61">
        <f t="shared" si="43"/>
        <v>21.153846153846153</v>
      </c>
      <c r="C110" s="59">
        <f t="shared" si="44"/>
        <v>0.2</v>
      </c>
      <c r="D110" s="64">
        <f>B2</f>
        <v>72.582399999999993</v>
      </c>
      <c r="E110" s="57">
        <f t="shared" si="34"/>
        <v>22.681999999999999</v>
      </c>
      <c r="F110" s="59">
        <f t="shared" si="45"/>
        <v>0.52</v>
      </c>
      <c r="G110" s="57">
        <f t="shared" si="35"/>
        <v>0.52</v>
      </c>
      <c r="H110" s="59">
        <f t="shared" si="46"/>
        <v>0.32</v>
      </c>
      <c r="I110" s="60">
        <f t="shared" si="50"/>
        <v>1.983173076923095E-3</v>
      </c>
      <c r="J110" s="60">
        <f t="shared" si="41"/>
        <v>0.19831730769230749</v>
      </c>
      <c r="K110" s="160">
        <f t="shared" si="37"/>
        <v>198.31730769230748</v>
      </c>
      <c r="L110" s="131">
        <f t="shared" si="38"/>
        <v>0.61538461538461542</v>
      </c>
      <c r="M110" s="58">
        <f t="shared" si="47"/>
        <v>3.7136666666666662</v>
      </c>
      <c r="N110" s="58">
        <f t="shared" si="39"/>
        <v>8.7259615384616238E-4</v>
      </c>
      <c r="O110" s="58">
        <f t="shared" si="40"/>
        <v>0.44000000000000028</v>
      </c>
      <c r="P110" s="58">
        <f t="shared" si="48"/>
        <v>0.54153846153846186</v>
      </c>
      <c r="Q110" s="58">
        <f t="shared" si="49"/>
        <v>0.3384615384615387</v>
      </c>
    </row>
    <row r="111" spans="1:17">
      <c r="A111" s="58">
        <f t="shared" si="42"/>
        <v>22</v>
      </c>
      <c r="B111" s="61">
        <f t="shared" si="43"/>
        <v>21.365384615384617</v>
      </c>
      <c r="C111" s="59">
        <f>IF(B111&gt;=$H$2,IF($D$2="CC", $G$2, B111/$G$2), 0)</f>
        <v>0.2</v>
      </c>
      <c r="D111" s="64">
        <f>B2</f>
        <v>72.582399999999993</v>
      </c>
      <c r="E111" s="57">
        <f>$C$2</f>
        <v>22.681999999999999</v>
      </c>
      <c r="F111" s="59">
        <f>I_Cout_ss+C111</f>
        <v>0.52</v>
      </c>
      <c r="G111" s="57">
        <f t="shared" si="35"/>
        <v>0.52</v>
      </c>
      <c r="H111" s="59">
        <f>G111-C111</f>
        <v>0.32</v>
      </c>
      <c r="I111" s="60">
        <f>(COUTMAX/1000000)*(B111-B110)/H111</f>
        <v>1.983173076923095E-3</v>
      </c>
      <c r="J111" s="60">
        <f>J110+I111</f>
        <v>0.20030048076923057</v>
      </c>
      <c r="K111" s="160">
        <f t="shared" si="37"/>
        <v>200.30048076923057</v>
      </c>
      <c r="L111" s="131">
        <f>H111/G111</f>
        <v>0.61538461538461542</v>
      </c>
      <c r="M111" s="58">
        <f t="shared" si="47"/>
        <v>3.7136666666666662</v>
      </c>
      <c r="N111" s="58">
        <f>I111*G111*(A111-B111)</f>
        <v>6.5444711538461989E-4</v>
      </c>
      <c r="O111" s="58">
        <f t="shared" si="40"/>
        <v>0.32999999999999929</v>
      </c>
      <c r="P111" s="58">
        <f t="shared" si="48"/>
        <v>0.40615384615384531</v>
      </c>
      <c r="Q111" s="58">
        <f t="shared" si="49"/>
        <v>0.25384615384615333</v>
      </c>
    </row>
    <row r="112" spans="1:17">
      <c r="A112" s="58">
        <f t="shared" si="42"/>
        <v>22</v>
      </c>
      <c r="B112" s="61">
        <f t="shared" si="43"/>
        <v>21.576923076923077</v>
      </c>
      <c r="C112" s="59">
        <f>IF(B112&gt;=$H$2,IF($D$2="CC", $G$2, B112/$G$2), 0)</f>
        <v>0.2</v>
      </c>
      <c r="D112" s="64">
        <f>B2</f>
        <v>72.582399999999993</v>
      </c>
      <c r="E112" s="57">
        <f>$C$2</f>
        <v>22.681999999999999</v>
      </c>
      <c r="F112" s="59">
        <f t="shared" ref="F112:F113" si="51">I_Cout_ss+C112</f>
        <v>0.52</v>
      </c>
      <c r="G112" s="57">
        <f t="shared" si="35"/>
        <v>0.52</v>
      </c>
      <c r="H112" s="59">
        <f t="shared" ref="H112:H113" si="52">G112-C112</f>
        <v>0.32</v>
      </c>
      <c r="I112" s="60">
        <f t="shared" ref="I112:I113" si="53">(COUTMAX/1000000)*(B112-B111)/H112</f>
        <v>1.9831730769230616E-3</v>
      </c>
      <c r="J112" s="60">
        <f t="shared" ref="J112:J113" si="54">J111+I112</f>
        <v>0.20228365384615363</v>
      </c>
      <c r="K112" s="160">
        <f t="shared" si="37"/>
        <v>202.28365384615364</v>
      </c>
      <c r="L112" s="131">
        <f t="shared" ref="L112:L113" si="55">H112/G112</f>
        <v>0.61538461538461542</v>
      </c>
      <c r="M112" s="58">
        <f t="shared" si="47"/>
        <v>3.7136666666666662</v>
      </c>
      <c r="N112" s="58">
        <f t="shared" ref="N112:N113" si="56">I112*G112*(A112-B112)</f>
        <v>4.3629807692307382E-4</v>
      </c>
      <c r="O112" s="58">
        <f t="shared" si="40"/>
        <v>0.22000000000000014</v>
      </c>
      <c r="P112" s="58">
        <f t="shared" si="48"/>
        <v>0.27076923076923093</v>
      </c>
      <c r="Q112" s="58">
        <f t="shared" si="49"/>
        <v>0.16923076923076935</v>
      </c>
    </row>
    <row r="113" spans="1:18">
      <c r="A113" s="58">
        <f t="shared" si="42"/>
        <v>22</v>
      </c>
      <c r="B113" s="61">
        <f t="shared" si="43"/>
        <v>21.78846153846154</v>
      </c>
      <c r="C113" s="59">
        <f>IF(B113&gt;=$H$2,IF($D$2="CC", $G$2, B113/$G$2), 0)</f>
        <v>0.2</v>
      </c>
      <c r="D113" s="64">
        <f>B2</f>
        <v>72.582399999999993</v>
      </c>
      <c r="E113" s="57">
        <f>$C$2</f>
        <v>22.681999999999999</v>
      </c>
      <c r="F113" s="59">
        <f t="shared" si="51"/>
        <v>0.52</v>
      </c>
      <c r="G113" s="57">
        <f t="shared" si="35"/>
        <v>0.52</v>
      </c>
      <c r="H113" s="59">
        <f t="shared" si="52"/>
        <v>0.32</v>
      </c>
      <c r="I113" s="60">
        <f t="shared" si="53"/>
        <v>1.983173076923095E-3</v>
      </c>
      <c r="J113" s="60">
        <f t="shared" si="54"/>
        <v>0.20426682692307671</v>
      </c>
      <c r="K113" s="160">
        <f t="shared" si="37"/>
        <v>204.26682692307671</v>
      </c>
      <c r="L113" s="131">
        <f t="shared" si="55"/>
        <v>0.61538461538461542</v>
      </c>
      <c r="M113" s="58">
        <f t="shared" si="47"/>
        <v>3.7136666666666662</v>
      </c>
      <c r="N113" s="58">
        <f t="shared" si="56"/>
        <v>2.1814903846153875E-4</v>
      </c>
      <c r="O113" s="58">
        <f t="shared" si="40"/>
        <v>0.10999999999999915</v>
      </c>
      <c r="P113" s="58">
        <f t="shared" si="48"/>
        <v>0.13538461538461433</v>
      </c>
      <c r="Q113" s="58">
        <f t="shared" si="49"/>
        <v>8.4615384615383968E-2</v>
      </c>
    </row>
    <row r="114" spans="1:18">
      <c r="A114" s="58">
        <f t="shared" si="42"/>
        <v>22</v>
      </c>
      <c r="B114" s="61">
        <f t="shared" si="43"/>
        <v>22</v>
      </c>
      <c r="C114" s="59">
        <f>IF(B114&gt;=$H$2,IF($D$2="CC", $G$2, B114/$G$2), 0)</f>
        <v>0.2</v>
      </c>
      <c r="D114" s="64">
        <f>B2</f>
        <v>72.582399999999993</v>
      </c>
      <c r="E114" s="57">
        <f>$C$2</f>
        <v>22.681999999999999</v>
      </c>
      <c r="F114" s="59">
        <f t="shared" ref="F114" si="57">I_Cout_ss+C114</f>
        <v>0.52</v>
      </c>
      <c r="G114" s="57">
        <f t="shared" si="35"/>
        <v>0.52</v>
      </c>
      <c r="H114" s="59">
        <f t="shared" ref="H114" si="58">G114-C114</f>
        <v>0.32</v>
      </c>
      <c r="I114" s="60">
        <f t="shared" ref="I114" si="59">(COUTMAX/1000000)*(B114-B113)/H114</f>
        <v>1.9831730769230616E-3</v>
      </c>
      <c r="J114" s="60">
        <f t="shared" ref="J114" si="60">J113+I114</f>
        <v>0.20624999999999977</v>
      </c>
      <c r="K114" s="160">
        <f t="shared" si="37"/>
        <v>206.24999999999977</v>
      </c>
      <c r="L114" s="131">
        <f t="shared" ref="L114" si="61">H114/G114</f>
        <v>0.61538461538461542</v>
      </c>
      <c r="M114" s="58">
        <f t="shared" si="47"/>
        <v>3.7136666666666662</v>
      </c>
      <c r="N114" s="58">
        <f t="shared" ref="N114" si="62">I114*G114*(A114-B114)</f>
        <v>0</v>
      </c>
      <c r="O114" s="58">
        <f t="shared" si="40"/>
        <v>0</v>
      </c>
      <c r="P114" s="58">
        <f t="shared" si="48"/>
        <v>0</v>
      </c>
      <c r="Q114" s="58">
        <f t="shared" si="49"/>
        <v>0</v>
      </c>
    </row>
    <row r="115" spans="1:18">
      <c r="K115" s="161">
        <f>K114+0.5</f>
        <v>206.74999999999977</v>
      </c>
      <c r="N115" s="58">
        <v>0</v>
      </c>
      <c r="O115" s="58">
        <v>0</v>
      </c>
    </row>
    <row r="120" spans="1:18">
      <c r="B120" s="58" t="s">
        <v>138</v>
      </c>
      <c r="C120" s="58" t="s">
        <v>276</v>
      </c>
      <c r="D120" s="58" t="s">
        <v>277</v>
      </c>
      <c r="F120" s="133" t="s">
        <v>311</v>
      </c>
      <c r="G120" s="133" t="s">
        <v>278</v>
      </c>
      <c r="H120" s="133" t="s">
        <v>279</v>
      </c>
      <c r="I120" s="133" t="s">
        <v>280</v>
      </c>
      <c r="J120" s="133" t="s">
        <v>281</v>
      </c>
      <c r="K120" s="133"/>
      <c r="L120" s="133"/>
      <c r="M120" s="133" t="s">
        <v>285</v>
      </c>
      <c r="N120" s="133"/>
      <c r="O120" s="133" t="s">
        <v>286</v>
      </c>
      <c r="Q120" s="58" t="s">
        <v>326</v>
      </c>
      <c r="R120" s="58" t="s">
        <v>327</v>
      </c>
    </row>
    <row r="121" spans="1:18">
      <c r="B121" s="128">
        <f>'Design Calculator'!F52</f>
        <v>72.582399999999993</v>
      </c>
      <c r="C121" s="58">
        <f>'Design Calculator'!F42</f>
        <v>22.681999999999999</v>
      </c>
      <c r="D121" s="58" t="str">
        <f>IF( 'Design Calculator'!F28 = "Constant Current", "CC", "R")</f>
        <v>CC</v>
      </c>
      <c r="F121" s="58" t="str">
        <f>'Design Calculator'!F30</f>
        <v>Soft Start</v>
      </c>
      <c r="G121" s="58">
        <f>'Design Calculator'!F29</f>
        <v>0.2</v>
      </c>
      <c r="H121" s="58">
        <f>'Design Calculator'!F27</f>
        <v>0</v>
      </c>
      <c r="I121" s="58">
        <f>RsEFF</f>
        <v>2.4248302618816684</v>
      </c>
      <c r="J121" s="58">
        <f>'Device Parameters'!E12</f>
        <v>1E-3</v>
      </c>
      <c r="M121" s="128">
        <f>J233*1000</f>
        <v>206.24999999999977</v>
      </c>
      <c r="N121" s="58" t="s">
        <v>8</v>
      </c>
      <c r="O121" s="131">
        <f>MIN(L129:L230)</f>
        <v>0.61538461538461542</v>
      </c>
      <c r="Q121" s="58">
        <f>'Device Parameters'!E30/'Device Parameters'!D30</f>
        <v>1.375</v>
      </c>
      <c r="R121" s="58">
        <f>'Device Parameters'!C30/'Device Parameters'!D30</f>
        <v>0.625</v>
      </c>
    </row>
    <row r="122" spans="1:18">
      <c r="B122" s="128"/>
      <c r="M122" s="128"/>
      <c r="O122" s="131"/>
    </row>
    <row r="123" spans="1:18">
      <c r="B123" s="128"/>
      <c r="D123" s="58" t="s">
        <v>318</v>
      </c>
      <c r="M123" s="128" t="s">
        <v>319</v>
      </c>
      <c r="N123" s="58">
        <f>MIN(M129:M233)</f>
        <v>0.48319999999999991</v>
      </c>
      <c r="O123" s="131" t="s">
        <v>315</v>
      </c>
      <c r="P123" s="58" t="s">
        <v>328</v>
      </c>
      <c r="Q123" s="58">
        <f>MAX(O129:O233)</f>
        <v>11.440000000000001</v>
      </c>
      <c r="R123" s="58" t="s">
        <v>87</v>
      </c>
    </row>
    <row r="124" spans="1:18">
      <c r="B124" s="128"/>
      <c r="M124" s="58" t="s">
        <v>320</v>
      </c>
      <c r="N124" s="58">
        <f>SUM(N129:N233)</f>
        <v>1.1684062499999999</v>
      </c>
      <c r="O124" s="131" t="s">
        <v>321</v>
      </c>
      <c r="P124" s="58" t="s">
        <v>330</v>
      </c>
      <c r="Q124" s="58">
        <f>MAX(P129:P233)</f>
        <v>14.08</v>
      </c>
      <c r="R124" s="58" t="s">
        <v>87</v>
      </c>
    </row>
    <row r="125" spans="1:18">
      <c r="P125" s="58" t="s">
        <v>329</v>
      </c>
      <c r="Q125" s="58">
        <f>MAX(Q129:Q233)</f>
        <v>8.8000000000000007</v>
      </c>
      <c r="R125" s="58" t="s">
        <v>87</v>
      </c>
    </row>
    <row r="126" spans="1:18">
      <c r="A126" s="129" t="s">
        <v>159</v>
      </c>
      <c r="B126" s="130" t="s">
        <v>132</v>
      </c>
      <c r="C126" s="130" t="s">
        <v>133</v>
      </c>
      <c r="D126" s="130" t="s">
        <v>138</v>
      </c>
      <c r="E126" s="130" t="s">
        <v>309</v>
      </c>
      <c r="F126" s="130" t="s">
        <v>310</v>
      </c>
      <c r="G126" s="130" t="s">
        <v>283</v>
      </c>
      <c r="H126" s="130" t="s">
        <v>157</v>
      </c>
      <c r="I126" s="130" t="s">
        <v>282</v>
      </c>
      <c r="J126" s="130" t="s">
        <v>143</v>
      </c>
      <c r="K126" s="130" t="s">
        <v>359</v>
      </c>
      <c r="L126" s="129" t="s">
        <v>284</v>
      </c>
      <c r="M126" s="129" t="s">
        <v>322</v>
      </c>
      <c r="N126" s="129" t="s">
        <v>358</v>
      </c>
      <c r="O126" s="129" t="s">
        <v>323</v>
      </c>
      <c r="P126" s="58" t="s">
        <v>324</v>
      </c>
      <c r="Q126" s="58" t="s">
        <v>325</v>
      </c>
    </row>
    <row r="127" spans="1:18">
      <c r="A127" s="129"/>
      <c r="B127" s="130"/>
      <c r="C127" s="130"/>
      <c r="D127" s="130"/>
      <c r="E127" s="130"/>
      <c r="F127" s="130"/>
      <c r="G127" s="130"/>
      <c r="H127" s="130"/>
      <c r="I127" s="130"/>
      <c r="J127" s="130"/>
      <c r="K127" s="160">
        <v>-1</v>
      </c>
      <c r="L127" s="129"/>
      <c r="M127" s="129"/>
      <c r="N127" s="129"/>
      <c r="O127" s="58">
        <v>0</v>
      </c>
    </row>
    <row r="128" spans="1:18">
      <c r="A128" s="129"/>
      <c r="B128" s="130"/>
      <c r="C128" s="130"/>
      <c r="D128" s="130"/>
      <c r="E128" s="130"/>
      <c r="F128" s="130"/>
      <c r="G128" s="130"/>
      <c r="H128" s="130"/>
      <c r="I128" s="130"/>
      <c r="J128" s="130"/>
      <c r="K128" s="64">
        <v>-0.01</v>
      </c>
      <c r="L128" s="129"/>
      <c r="M128" s="129"/>
      <c r="N128" s="129"/>
      <c r="O128" s="58">
        <v>0</v>
      </c>
    </row>
    <row r="129" spans="1:25">
      <c r="A129" s="58">
        <f t="shared" ref="A129:A192" si="63">VINMAX</f>
        <v>22</v>
      </c>
      <c r="B129" s="61">
        <f t="shared" ref="B129:B160" si="64">VINMAX*((ROW()-129)/104)</f>
        <v>0</v>
      </c>
      <c r="C129" s="59">
        <f>IF(B129&gt;=$H$121,IF($D$121="CC", $G$121, B129/$G$121), 0)</f>
        <v>0.2</v>
      </c>
      <c r="D129" s="64">
        <f>B121</f>
        <v>72.582399999999993</v>
      </c>
      <c r="E129" s="57">
        <f>MIN(D129/(A129-B129),$C$121)</f>
        <v>3.2991999999999995</v>
      </c>
      <c r="F129" s="59">
        <f>Equations!$G$69+C129</f>
        <v>0.52</v>
      </c>
      <c r="G129" s="57">
        <f>IF($F$121="Soft Start", F129, E129)</f>
        <v>0.52</v>
      </c>
      <c r="H129" s="59">
        <f t="shared" ref="H129:H192" si="65">G129-C129</f>
        <v>0.32</v>
      </c>
      <c r="I129" s="60">
        <f>(COUTMAX/1000000)*(B129)/H129</f>
        <v>0</v>
      </c>
      <c r="J129" s="60">
        <f>I129</f>
        <v>0</v>
      </c>
      <c r="K129" s="160">
        <f>J129*1000</f>
        <v>0</v>
      </c>
      <c r="L129" s="131">
        <f>H129/G129</f>
        <v>0.61538461538461542</v>
      </c>
      <c r="M129" s="58">
        <f t="shared" ref="M129:M192" si="66">1/COUTMAX*(E129/2-C129)*1000</f>
        <v>0.48319999999999991</v>
      </c>
      <c r="N129" s="58">
        <f>I129*G129*(A129-B129)</f>
        <v>0</v>
      </c>
      <c r="O129" s="58">
        <f>G129*(A129-B129)</f>
        <v>11.440000000000001</v>
      </c>
      <c r="P129" s="58">
        <f>(A129-B129)*(Equations!$G$69*$Q$121+C129)</f>
        <v>14.08</v>
      </c>
      <c r="Q129" s="58">
        <f>(A129-B129)*(Equations!$G$69*$R$121+C129)</f>
        <v>8.8000000000000007</v>
      </c>
    </row>
    <row r="130" spans="1:25">
      <c r="A130" s="58">
        <f t="shared" si="63"/>
        <v>22</v>
      </c>
      <c r="B130" s="61">
        <f t="shared" si="64"/>
        <v>0.21153846153846156</v>
      </c>
      <c r="C130" s="59">
        <f t="shared" ref="C130:C193" si="67">IF(B130&gt;=$H$121,IF($D$121="CC", $G$121, B130/$G$121), 0)</f>
        <v>0.2</v>
      </c>
      <c r="D130" s="64">
        <f>B121</f>
        <v>72.582399999999993</v>
      </c>
      <c r="E130" s="57">
        <f t="shared" ref="E130:E193" si="68">MIN(D130/(A130-B130),$C$121)</f>
        <v>3.3312310679611645</v>
      </c>
      <c r="F130" s="59">
        <f>Equations!$G$69+C130</f>
        <v>0.52</v>
      </c>
      <c r="G130" s="57">
        <f t="shared" ref="G130:G193" si="69">IF($F$121="Soft Start", F130, E130)</f>
        <v>0.52</v>
      </c>
      <c r="H130" s="59">
        <f t="shared" si="65"/>
        <v>0.32</v>
      </c>
      <c r="I130" s="60">
        <f t="shared" ref="I130:I193" si="70">(COUTMAX/1000000)*(B130-B129)/H130</f>
        <v>1.9831730769230773E-3</v>
      </c>
      <c r="J130" s="60">
        <f>J129+I130</f>
        <v>1.9831730769230773E-3</v>
      </c>
      <c r="K130" s="160">
        <f t="shared" ref="K130:K193" si="71">J130*1000</f>
        <v>1.9831730769230773</v>
      </c>
      <c r="L130" s="131">
        <f t="shared" ref="L130:L193" si="72">H130/G130</f>
        <v>0.61538461538461542</v>
      </c>
      <c r="M130" s="58">
        <f t="shared" si="66"/>
        <v>0.48853851132686077</v>
      </c>
      <c r="N130" s="58">
        <f t="shared" ref="N130" si="73">I130*G130*(A130-B130)</f>
        <v>2.2469350961538469E-2</v>
      </c>
      <c r="O130" s="58">
        <f t="shared" ref="O130:O193" si="74">G130*(A130-B130)</f>
        <v>11.330000000000002</v>
      </c>
      <c r="P130" s="58">
        <f>(A130-B130)*(Equations!$G$69*$Q$121+C130)</f>
        <v>13.944615384615386</v>
      </c>
      <c r="Q130" s="58">
        <f>(A130-B130)*(Equations!$G$69*$R$121+C130)</f>
        <v>8.7153846153846164</v>
      </c>
    </row>
    <row r="131" spans="1:25">
      <c r="A131" s="58">
        <f t="shared" si="63"/>
        <v>22</v>
      </c>
      <c r="B131" s="61">
        <f t="shared" si="64"/>
        <v>0.42307692307692313</v>
      </c>
      <c r="C131" s="59">
        <f t="shared" si="67"/>
        <v>0.2</v>
      </c>
      <c r="D131" s="64">
        <f>B121</f>
        <v>72.582399999999993</v>
      </c>
      <c r="E131" s="57">
        <f t="shared" si="68"/>
        <v>3.3638901960784309</v>
      </c>
      <c r="F131" s="59">
        <f>Equations!$G$69+C131</f>
        <v>0.52</v>
      </c>
      <c r="G131" s="57">
        <f t="shared" si="69"/>
        <v>0.52</v>
      </c>
      <c r="H131" s="59">
        <f t="shared" si="65"/>
        <v>0.32</v>
      </c>
      <c r="I131" s="60">
        <f t="shared" si="70"/>
        <v>1.9831730769230773E-3</v>
      </c>
      <c r="J131" s="60">
        <f t="shared" ref="J131:J194" si="75">J130+I131</f>
        <v>3.9663461538461545E-3</v>
      </c>
      <c r="K131" s="160">
        <f t="shared" si="71"/>
        <v>3.9663461538461546</v>
      </c>
      <c r="L131" s="131">
        <f t="shared" si="72"/>
        <v>0.61538461538461542</v>
      </c>
      <c r="M131" s="58">
        <f t="shared" si="66"/>
        <v>0.49398169934640512</v>
      </c>
      <c r="N131" s="58">
        <f>I131*G131*(A131-B131)</f>
        <v>2.2251201923076929E-2</v>
      </c>
      <c r="O131" s="58">
        <f t="shared" si="74"/>
        <v>11.22</v>
      </c>
      <c r="P131" s="58">
        <f>(A131-B131)*(Equations!$G$69*$Q$121+C131)</f>
        <v>13.809230769230769</v>
      </c>
      <c r="Q131" s="58">
        <f>(A131-B131)*(Equations!$G$69*$R$121+C131)</f>
        <v>8.6307692307692303</v>
      </c>
      <c r="X131" s="358" t="s">
        <v>134</v>
      </c>
      <c r="Y131" s="358"/>
    </row>
    <row r="132" spans="1:25">
      <c r="A132" s="58">
        <f t="shared" si="63"/>
        <v>22</v>
      </c>
      <c r="B132" s="61">
        <f t="shared" si="64"/>
        <v>0.63461538461538469</v>
      </c>
      <c r="C132" s="59">
        <f t="shared" si="67"/>
        <v>0.2</v>
      </c>
      <c r="D132" s="64">
        <f>B121</f>
        <v>72.582399999999993</v>
      </c>
      <c r="E132" s="57">
        <f t="shared" si="68"/>
        <v>3.3971960396039598</v>
      </c>
      <c r="F132" s="59">
        <f>Equations!$G$69+C132</f>
        <v>0.52</v>
      </c>
      <c r="G132" s="57">
        <f t="shared" si="69"/>
        <v>0.52</v>
      </c>
      <c r="H132" s="59">
        <f t="shared" si="65"/>
        <v>0.32</v>
      </c>
      <c r="I132" s="60">
        <f t="shared" si="70"/>
        <v>1.9831730769230773E-3</v>
      </c>
      <c r="J132" s="60">
        <f t="shared" si="75"/>
        <v>5.9495192307692322E-3</v>
      </c>
      <c r="K132" s="160">
        <f t="shared" si="71"/>
        <v>5.9495192307692326</v>
      </c>
      <c r="L132" s="131">
        <f t="shared" si="72"/>
        <v>0.61538461538461542</v>
      </c>
      <c r="M132" s="58">
        <f t="shared" si="66"/>
        <v>0.49953267326732664</v>
      </c>
      <c r="N132" s="58">
        <f t="shared" ref="N132:N179" si="76">I132*G132*(A132-B132)</f>
        <v>2.2033052884615392E-2</v>
      </c>
      <c r="O132" s="58">
        <f t="shared" si="74"/>
        <v>11.110000000000001</v>
      </c>
      <c r="P132" s="58">
        <f>(A132-B132)*(Equations!$G$69*$Q$121+C132)</f>
        <v>13.673846153846155</v>
      </c>
      <c r="Q132" s="58">
        <f>(A132-B132)*(Equations!$G$69*$R$121+C132)</f>
        <v>8.5461538461538478</v>
      </c>
      <c r="X132" s="62" t="s">
        <v>135</v>
      </c>
      <c r="Y132" s="62">
        <v>0.3</v>
      </c>
    </row>
    <row r="133" spans="1:25">
      <c r="A133" s="58">
        <f t="shared" si="63"/>
        <v>22</v>
      </c>
      <c r="B133" s="61">
        <f t="shared" si="64"/>
        <v>0.84615384615384626</v>
      </c>
      <c r="C133" s="59">
        <f t="shared" si="67"/>
        <v>0.2</v>
      </c>
      <c r="D133" s="64">
        <f>B121</f>
        <v>72.582399999999993</v>
      </c>
      <c r="E133" s="57">
        <f t="shared" si="68"/>
        <v>3.4311679999999996</v>
      </c>
      <c r="F133" s="59">
        <f>Equations!$G$69+C133</f>
        <v>0.52</v>
      </c>
      <c r="G133" s="57">
        <f t="shared" si="69"/>
        <v>0.52</v>
      </c>
      <c r="H133" s="59">
        <f t="shared" si="65"/>
        <v>0.32</v>
      </c>
      <c r="I133" s="60">
        <f t="shared" si="70"/>
        <v>1.9831730769230773E-3</v>
      </c>
      <c r="J133" s="60">
        <f t="shared" si="75"/>
        <v>7.932692307692309E-3</v>
      </c>
      <c r="K133" s="160">
        <f t="shared" si="71"/>
        <v>7.9326923076923093</v>
      </c>
      <c r="L133" s="131">
        <f t="shared" si="72"/>
        <v>0.61538461538461542</v>
      </c>
      <c r="M133" s="58">
        <f t="shared" si="66"/>
        <v>0.50519466666666657</v>
      </c>
      <c r="N133" s="58">
        <f t="shared" si="76"/>
        <v>2.1814903846153852E-2</v>
      </c>
      <c r="O133" s="58">
        <f t="shared" si="74"/>
        <v>11</v>
      </c>
      <c r="P133" s="58">
        <f>(A133-B133)*(Equations!$G$69*$Q$121+C133)</f>
        <v>13.538461538461538</v>
      </c>
      <c r="Q133" s="58">
        <f>(A133-B133)*(Equations!$G$69*$R$121+C133)</f>
        <v>8.4615384615384617</v>
      </c>
      <c r="X133" s="62" t="s">
        <v>136</v>
      </c>
      <c r="Y133" s="62">
        <v>0.3</v>
      </c>
    </row>
    <row r="134" spans="1:25">
      <c r="A134" s="58">
        <f t="shared" si="63"/>
        <v>22</v>
      </c>
      <c r="B134" s="61">
        <f t="shared" si="64"/>
        <v>1.0576923076923077</v>
      </c>
      <c r="C134" s="59">
        <f t="shared" si="67"/>
        <v>0.2</v>
      </c>
      <c r="D134" s="64">
        <f>B121</f>
        <v>72.582399999999993</v>
      </c>
      <c r="E134" s="57">
        <f t="shared" si="68"/>
        <v>3.4658262626262619</v>
      </c>
      <c r="F134" s="59">
        <f>Equations!$G$69+C134</f>
        <v>0.52</v>
      </c>
      <c r="G134" s="57">
        <f t="shared" si="69"/>
        <v>0.52</v>
      </c>
      <c r="H134" s="59">
        <f t="shared" si="65"/>
        <v>0.32</v>
      </c>
      <c r="I134" s="60">
        <f t="shared" si="70"/>
        <v>1.9831730769230764E-3</v>
      </c>
      <c r="J134" s="60">
        <f t="shared" si="75"/>
        <v>9.9158653846153858E-3</v>
      </c>
      <c r="K134" s="160">
        <f t="shared" si="71"/>
        <v>9.915865384615385</v>
      </c>
      <c r="L134" s="131">
        <f t="shared" si="72"/>
        <v>0.61538461538461542</v>
      </c>
      <c r="M134" s="58">
        <f t="shared" si="66"/>
        <v>0.51097104377104363</v>
      </c>
      <c r="N134" s="58">
        <f t="shared" si="76"/>
        <v>2.1596754807692305E-2</v>
      </c>
      <c r="O134" s="58">
        <f t="shared" si="74"/>
        <v>10.89</v>
      </c>
      <c r="P134" s="58">
        <f>(A134-B134)*(Equations!$G$69*$Q$121+C134)</f>
        <v>13.403076923076924</v>
      </c>
      <c r="Q134" s="58">
        <f>(A134-B134)*(Equations!$G$69*$R$121+C134)</f>
        <v>8.3769230769230774</v>
      </c>
      <c r="X134" s="62" t="s">
        <v>137</v>
      </c>
      <c r="Y134" s="62">
        <f>SQRT(Y133^2+Y132^2)</f>
        <v>0.42426406871192851</v>
      </c>
    </row>
    <row r="135" spans="1:25">
      <c r="A135" s="58">
        <f t="shared" si="63"/>
        <v>22</v>
      </c>
      <c r="B135" s="61">
        <f t="shared" si="64"/>
        <v>1.2692307692307694</v>
      </c>
      <c r="C135" s="59">
        <f t="shared" si="67"/>
        <v>0.2</v>
      </c>
      <c r="D135" s="64">
        <f>B121</f>
        <v>72.582399999999993</v>
      </c>
      <c r="E135" s="57">
        <f t="shared" si="68"/>
        <v>3.5011918367346935</v>
      </c>
      <c r="F135" s="59">
        <f>Equations!$G$69+C135</f>
        <v>0.52</v>
      </c>
      <c r="G135" s="57">
        <f t="shared" si="69"/>
        <v>0.52</v>
      </c>
      <c r="H135" s="59">
        <f t="shared" si="65"/>
        <v>0.32</v>
      </c>
      <c r="I135" s="60">
        <f t="shared" si="70"/>
        <v>1.9831730769230781E-3</v>
      </c>
      <c r="J135" s="60">
        <f t="shared" si="75"/>
        <v>1.1899038461538464E-2</v>
      </c>
      <c r="K135" s="160">
        <f t="shared" si="71"/>
        <v>11.899038461538465</v>
      </c>
      <c r="L135" s="131">
        <f t="shared" si="72"/>
        <v>0.61538461538461542</v>
      </c>
      <c r="M135" s="58">
        <f t="shared" si="66"/>
        <v>0.51686530612244896</v>
      </c>
      <c r="N135" s="58">
        <f t="shared" si="76"/>
        <v>2.1378605769230782E-2</v>
      </c>
      <c r="O135" s="58">
        <f t="shared" si="74"/>
        <v>10.78</v>
      </c>
      <c r="P135" s="58">
        <f>(A135-B135)*(Equations!$G$69*$Q$121+C135)</f>
        <v>13.267692307692307</v>
      </c>
      <c r="Q135" s="58">
        <f>(A135-B135)*(Equations!$G$69*$R$121+C135)</f>
        <v>8.292307692307693</v>
      </c>
      <c r="X135" s="62"/>
      <c r="Y135" s="62"/>
    </row>
    <row r="136" spans="1:25">
      <c r="A136" s="58">
        <f t="shared" si="63"/>
        <v>22</v>
      </c>
      <c r="B136" s="61">
        <f t="shared" si="64"/>
        <v>1.4807692307692306</v>
      </c>
      <c r="C136" s="59">
        <f t="shared" si="67"/>
        <v>0.2</v>
      </c>
      <c r="D136" s="64">
        <f>B121</f>
        <v>72.582399999999993</v>
      </c>
      <c r="E136" s="57">
        <f t="shared" si="68"/>
        <v>3.5372865979381438</v>
      </c>
      <c r="F136" s="59">
        <f>Equations!$G$69+C136</f>
        <v>0.52</v>
      </c>
      <c r="G136" s="57">
        <f t="shared" si="69"/>
        <v>0.52</v>
      </c>
      <c r="H136" s="59">
        <f t="shared" si="65"/>
        <v>0.32</v>
      </c>
      <c r="I136" s="60">
        <f t="shared" si="70"/>
        <v>1.9831730769230742E-3</v>
      </c>
      <c r="J136" s="60">
        <f t="shared" si="75"/>
        <v>1.3882211538461538E-2</v>
      </c>
      <c r="K136" s="160">
        <f t="shared" si="71"/>
        <v>13.882211538461538</v>
      </c>
      <c r="L136" s="131">
        <f t="shared" si="72"/>
        <v>0.61538461538461542</v>
      </c>
      <c r="M136" s="58">
        <f t="shared" si="66"/>
        <v>0.52288109965635732</v>
      </c>
      <c r="N136" s="58">
        <f t="shared" si="76"/>
        <v>2.1160456730769203E-2</v>
      </c>
      <c r="O136" s="58">
        <f t="shared" si="74"/>
        <v>10.67</v>
      </c>
      <c r="P136" s="58">
        <f>(A136-B136)*(Equations!$G$69*$Q$121+C136)</f>
        <v>13.132307692307693</v>
      </c>
      <c r="Q136" s="58">
        <f>(A136-B136)*(Equations!$G$69*$R$121+C136)</f>
        <v>8.2076923076923087</v>
      </c>
      <c r="X136" s="62" t="s">
        <v>138</v>
      </c>
      <c r="Y136" s="62">
        <v>0.3</v>
      </c>
    </row>
    <row r="137" spans="1:25">
      <c r="A137" s="58">
        <f t="shared" si="63"/>
        <v>22</v>
      </c>
      <c r="B137" s="61">
        <f t="shared" si="64"/>
        <v>1.6923076923076925</v>
      </c>
      <c r="C137" s="59">
        <f t="shared" si="67"/>
        <v>0.2</v>
      </c>
      <c r="D137" s="64">
        <f>B121</f>
        <v>72.582399999999993</v>
      </c>
      <c r="E137" s="57">
        <f t="shared" si="68"/>
        <v>3.5741333333333332</v>
      </c>
      <c r="F137" s="59">
        <f>Equations!$G$69+C137</f>
        <v>0.52</v>
      </c>
      <c r="G137" s="57">
        <f t="shared" si="69"/>
        <v>0.52</v>
      </c>
      <c r="H137" s="59">
        <f t="shared" si="65"/>
        <v>0.32</v>
      </c>
      <c r="I137" s="60">
        <f t="shared" si="70"/>
        <v>1.9831730769230803E-3</v>
      </c>
      <c r="J137" s="60">
        <f t="shared" si="75"/>
        <v>1.5865384615384618E-2</v>
      </c>
      <c r="K137" s="160">
        <f t="shared" si="71"/>
        <v>15.865384615384619</v>
      </c>
      <c r="L137" s="131">
        <f t="shared" si="72"/>
        <v>0.61538461538461542</v>
      </c>
      <c r="M137" s="58">
        <f t="shared" si="66"/>
        <v>0.52902222222222217</v>
      </c>
      <c r="N137" s="58">
        <f t="shared" si="76"/>
        <v>2.0942307692307729E-2</v>
      </c>
      <c r="O137" s="58">
        <f t="shared" si="74"/>
        <v>10.56</v>
      </c>
      <c r="P137" s="58">
        <f>(A137-B137)*(Equations!$G$69*$Q$121+C137)</f>
        <v>12.996923076923077</v>
      </c>
      <c r="Q137" s="58">
        <f>(A137-B137)*(Equations!$G$69*$R$121+C137)</f>
        <v>8.1230769230769226</v>
      </c>
      <c r="X137" s="62" t="s">
        <v>139</v>
      </c>
      <c r="Y137" s="62">
        <f>MAX(Y134:Y136)</f>
        <v>0.42426406871192851</v>
      </c>
    </row>
    <row r="138" spans="1:25">
      <c r="A138" s="58">
        <f t="shared" si="63"/>
        <v>22</v>
      </c>
      <c r="B138" s="61">
        <f t="shared" si="64"/>
        <v>1.9038461538461537</v>
      </c>
      <c r="C138" s="59">
        <f t="shared" si="67"/>
        <v>0.2</v>
      </c>
      <c r="D138" s="64">
        <f>B121</f>
        <v>72.582399999999993</v>
      </c>
      <c r="E138" s="57">
        <f t="shared" si="68"/>
        <v>3.6117557894736838</v>
      </c>
      <c r="F138" s="59">
        <f>Equations!$G$69+C138</f>
        <v>0.52</v>
      </c>
      <c r="G138" s="57">
        <f t="shared" si="69"/>
        <v>0.52</v>
      </c>
      <c r="H138" s="59">
        <f t="shared" si="65"/>
        <v>0.32</v>
      </c>
      <c r="I138" s="60">
        <f t="shared" si="70"/>
        <v>1.9831730769230742E-3</v>
      </c>
      <c r="J138" s="60">
        <f t="shared" si="75"/>
        <v>1.7848557692307691E-2</v>
      </c>
      <c r="K138" s="160">
        <f t="shared" si="71"/>
        <v>17.84855769230769</v>
      </c>
      <c r="L138" s="131">
        <f t="shared" si="72"/>
        <v>0.61538461538461542</v>
      </c>
      <c r="M138" s="58">
        <f t="shared" si="66"/>
        <v>0.53529263157894724</v>
      </c>
      <c r="N138" s="58">
        <f t="shared" si="76"/>
        <v>2.0724158653846126E-2</v>
      </c>
      <c r="O138" s="58">
        <f t="shared" si="74"/>
        <v>10.450000000000001</v>
      </c>
      <c r="P138" s="58">
        <f>(A138-B138)*(Equations!$G$69*$Q$121+C138)</f>
        <v>12.861538461538462</v>
      </c>
      <c r="Q138" s="58">
        <f>(A138-B138)*(Equations!$G$69*$R$121+C138)</f>
        <v>8.0384615384615383</v>
      </c>
      <c r="X138" s="62"/>
      <c r="Y138" s="62"/>
    </row>
    <row r="139" spans="1:25">
      <c r="A139" s="58">
        <f t="shared" si="63"/>
        <v>22</v>
      </c>
      <c r="B139" s="61">
        <f t="shared" si="64"/>
        <v>2.1153846153846154</v>
      </c>
      <c r="C139" s="59">
        <f t="shared" si="67"/>
        <v>0.2</v>
      </c>
      <c r="D139" s="64">
        <f>B121</f>
        <v>72.582399999999993</v>
      </c>
      <c r="E139" s="57">
        <f t="shared" si="68"/>
        <v>3.6501787234042551</v>
      </c>
      <c r="F139" s="59">
        <f>Equations!$G$69+C139</f>
        <v>0.52</v>
      </c>
      <c r="G139" s="57">
        <f t="shared" si="69"/>
        <v>0.52</v>
      </c>
      <c r="H139" s="59">
        <f t="shared" si="65"/>
        <v>0.32</v>
      </c>
      <c r="I139" s="60">
        <f t="shared" si="70"/>
        <v>1.9831730769230781E-3</v>
      </c>
      <c r="J139" s="60">
        <f t="shared" si="75"/>
        <v>1.9831730769230768E-2</v>
      </c>
      <c r="K139" s="160">
        <f t="shared" si="71"/>
        <v>19.831730769230766</v>
      </c>
      <c r="L139" s="131">
        <f t="shared" si="72"/>
        <v>0.61538461538461542</v>
      </c>
      <c r="M139" s="58">
        <f t="shared" si="66"/>
        <v>0.5416964539007092</v>
      </c>
      <c r="N139" s="58">
        <f t="shared" si="76"/>
        <v>2.0506009615384627E-2</v>
      </c>
      <c r="O139" s="58">
        <f t="shared" si="74"/>
        <v>10.34</v>
      </c>
      <c r="P139" s="58">
        <f>(A139-B139)*(Equations!$G$69*$Q$121+C139)</f>
        <v>12.726153846153846</v>
      </c>
      <c r="Q139" s="58">
        <f>(A139-B139)*(Equations!$G$69*$R$121+C139)</f>
        <v>7.953846153846154</v>
      </c>
      <c r="X139" s="62" t="s">
        <v>140</v>
      </c>
      <c r="Y139" s="62">
        <v>0.2</v>
      </c>
    </row>
    <row r="140" spans="1:25">
      <c r="A140" s="58">
        <f t="shared" si="63"/>
        <v>22</v>
      </c>
      <c r="B140" s="61">
        <f t="shared" si="64"/>
        <v>2.3269230769230771</v>
      </c>
      <c r="C140" s="59">
        <f t="shared" si="67"/>
        <v>0.2</v>
      </c>
      <c r="D140" s="64">
        <f>B121</f>
        <v>72.582399999999993</v>
      </c>
      <c r="E140" s="57">
        <f t="shared" si="68"/>
        <v>3.6894279569892467</v>
      </c>
      <c r="F140" s="59">
        <f>Equations!$G$69+C140</f>
        <v>0.52</v>
      </c>
      <c r="G140" s="57">
        <f t="shared" si="69"/>
        <v>0.52</v>
      </c>
      <c r="H140" s="59">
        <f t="shared" si="65"/>
        <v>0.32</v>
      </c>
      <c r="I140" s="60">
        <f t="shared" si="70"/>
        <v>1.9831730769230781E-3</v>
      </c>
      <c r="J140" s="60">
        <f t="shared" si="75"/>
        <v>2.1814903846153845E-2</v>
      </c>
      <c r="K140" s="160">
        <f t="shared" si="71"/>
        <v>21.814903846153847</v>
      </c>
      <c r="L140" s="131">
        <f t="shared" si="72"/>
        <v>0.61538461538461542</v>
      </c>
      <c r="M140" s="58">
        <f t="shared" si="66"/>
        <v>0.54823799283154107</v>
      </c>
      <c r="N140" s="58">
        <f t="shared" si="76"/>
        <v>2.028786057692309E-2</v>
      </c>
      <c r="O140" s="58">
        <f t="shared" si="74"/>
        <v>10.23</v>
      </c>
      <c r="P140" s="58">
        <f>(A140-B140)*(Equations!$G$69*$Q$121+C140)</f>
        <v>12.590769230769231</v>
      </c>
      <c r="Q140" s="58">
        <f>(A140-B140)*(Equations!$G$69*$R$121+C140)</f>
        <v>7.8692307692307697</v>
      </c>
      <c r="X140" s="62" t="s">
        <v>141</v>
      </c>
      <c r="Y140" s="62">
        <v>0.2</v>
      </c>
    </row>
    <row r="141" spans="1:25">
      <c r="A141" s="58">
        <f t="shared" si="63"/>
        <v>22</v>
      </c>
      <c r="B141" s="61">
        <f t="shared" si="64"/>
        <v>2.5384615384615388</v>
      </c>
      <c r="C141" s="59">
        <f t="shared" si="67"/>
        <v>0.2</v>
      </c>
      <c r="D141" s="64">
        <f>B121</f>
        <v>72.582399999999993</v>
      </c>
      <c r="E141" s="57">
        <f t="shared" si="68"/>
        <v>3.7295304347826086</v>
      </c>
      <c r="F141" s="59">
        <f>Equations!$G$69+C141</f>
        <v>0.52</v>
      </c>
      <c r="G141" s="57">
        <f t="shared" si="69"/>
        <v>0.52</v>
      </c>
      <c r="H141" s="59">
        <f t="shared" si="65"/>
        <v>0.32</v>
      </c>
      <c r="I141" s="60">
        <f t="shared" si="70"/>
        <v>1.9831730769230781E-3</v>
      </c>
      <c r="J141" s="60">
        <f t="shared" si="75"/>
        <v>2.3798076923076922E-2</v>
      </c>
      <c r="K141" s="160">
        <f t="shared" si="71"/>
        <v>23.798076923076923</v>
      </c>
      <c r="L141" s="131">
        <f t="shared" si="72"/>
        <v>0.61538461538461542</v>
      </c>
      <c r="M141" s="58">
        <f t="shared" si="66"/>
        <v>0.55492173913043485</v>
      </c>
      <c r="N141" s="58">
        <f t="shared" si="76"/>
        <v>2.006971153846155E-2</v>
      </c>
      <c r="O141" s="58">
        <f t="shared" si="74"/>
        <v>10.119999999999999</v>
      </c>
      <c r="P141" s="58">
        <f>(A141-B141)*(Equations!$G$69*$Q$121+C141)</f>
        <v>12.455384615384615</v>
      </c>
      <c r="Q141" s="58">
        <f>(A141-B141)*(Equations!$G$69*$R$121+C141)</f>
        <v>7.7846153846153845</v>
      </c>
      <c r="X141" s="62" t="s">
        <v>137</v>
      </c>
      <c r="Y141" s="62">
        <f>SQRT(Y140^2+Y139^2)</f>
        <v>0.28284271247461906</v>
      </c>
    </row>
    <row r="142" spans="1:25">
      <c r="A142" s="58">
        <f t="shared" si="63"/>
        <v>22</v>
      </c>
      <c r="B142" s="61">
        <f t="shared" si="64"/>
        <v>2.75</v>
      </c>
      <c r="C142" s="59">
        <f t="shared" si="67"/>
        <v>0.2</v>
      </c>
      <c r="D142" s="64">
        <f>B121</f>
        <v>72.582399999999993</v>
      </c>
      <c r="E142" s="57">
        <f t="shared" si="68"/>
        <v>3.7705142857142855</v>
      </c>
      <c r="F142" s="59">
        <f>Equations!$G$69+C142</f>
        <v>0.52</v>
      </c>
      <c r="G142" s="57">
        <f t="shared" si="69"/>
        <v>0.52</v>
      </c>
      <c r="H142" s="59">
        <f t="shared" si="65"/>
        <v>0.32</v>
      </c>
      <c r="I142" s="60">
        <f t="shared" si="70"/>
        <v>1.9831730769230742E-3</v>
      </c>
      <c r="J142" s="60">
        <f t="shared" si="75"/>
        <v>2.5781249999999995E-2</v>
      </c>
      <c r="K142" s="160">
        <f t="shared" si="71"/>
        <v>25.781249999999996</v>
      </c>
      <c r="L142" s="131">
        <f t="shared" si="72"/>
        <v>0.61538461538461542</v>
      </c>
      <c r="M142" s="58">
        <f t="shared" si="66"/>
        <v>0.56175238095238089</v>
      </c>
      <c r="N142" s="58">
        <f t="shared" si="76"/>
        <v>1.9851562499999972E-2</v>
      </c>
      <c r="O142" s="58">
        <f t="shared" si="74"/>
        <v>10.01</v>
      </c>
      <c r="P142" s="58">
        <f>(A142-B142)*(Equations!$G$69*$Q$121+C142)</f>
        <v>12.32</v>
      </c>
      <c r="Q142" s="58">
        <f>(A142-B142)*(Equations!$G$69*$R$121+C142)</f>
        <v>7.7</v>
      </c>
      <c r="X142" s="62"/>
      <c r="Y142" s="62"/>
    </row>
    <row r="143" spans="1:25">
      <c r="A143" s="58">
        <f t="shared" si="63"/>
        <v>22</v>
      </c>
      <c r="B143" s="61">
        <f t="shared" si="64"/>
        <v>2.9615384615384612</v>
      </c>
      <c r="C143" s="59">
        <f t="shared" si="67"/>
        <v>0.2</v>
      </c>
      <c r="D143" s="64">
        <f>B121</f>
        <v>72.582399999999993</v>
      </c>
      <c r="E143" s="57">
        <f t="shared" si="68"/>
        <v>3.8124088888888883</v>
      </c>
      <c r="F143" s="59">
        <f>Equations!$G$69+C143</f>
        <v>0.52</v>
      </c>
      <c r="G143" s="57">
        <f t="shared" si="69"/>
        <v>0.52</v>
      </c>
      <c r="H143" s="59">
        <f t="shared" si="65"/>
        <v>0.32</v>
      </c>
      <c r="I143" s="60">
        <f t="shared" si="70"/>
        <v>1.9831730769230742E-3</v>
      </c>
      <c r="J143" s="60">
        <f t="shared" si="75"/>
        <v>2.7764423076923068E-2</v>
      </c>
      <c r="K143" s="160">
        <f t="shared" si="71"/>
        <v>27.76442307692307</v>
      </c>
      <c r="L143" s="131">
        <f t="shared" si="72"/>
        <v>0.61538461538461542</v>
      </c>
      <c r="M143" s="58">
        <f t="shared" si="66"/>
        <v>0.56873481481481469</v>
      </c>
      <c r="N143" s="58">
        <f t="shared" si="76"/>
        <v>1.9633413461538435E-2</v>
      </c>
      <c r="O143" s="58">
        <f t="shared" si="74"/>
        <v>9.9</v>
      </c>
      <c r="P143" s="58">
        <f>(A143-B143)*(Equations!$G$69*$Q$121+C143)</f>
        <v>12.184615384615386</v>
      </c>
      <c r="Q143" s="58">
        <f>(A143-B143)*(Equations!$G$69*$R$121+C143)</f>
        <v>7.6153846153846168</v>
      </c>
      <c r="X143" s="62" t="s">
        <v>142</v>
      </c>
      <c r="Y143" s="62">
        <f>SQRT(Y137^2+Y141^2)</f>
        <v>0.50990195135927852</v>
      </c>
    </row>
    <row r="144" spans="1:25">
      <c r="A144" s="58">
        <f t="shared" si="63"/>
        <v>22</v>
      </c>
      <c r="B144" s="61">
        <f t="shared" si="64"/>
        <v>3.1730769230769229</v>
      </c>
      <c r="C144" s="59">
        <f t="shared" si="67"/>
        <v>0.2</v>
      </c>
      <c r="D144" s="64">
        <f>B121</f>
        <v>72.582399999999993</v>
      </c>
      <c r="E144" s="57">
        <f t="shared" si="68"/>
        <v>3.8552449438202245</v>
      </c>
      <c r="F144" s="59">
        <f>Equations!$G$69+C144</f>
        <v>0.52</v>
      </c>
      <c r="G144" s="57">
        <f t="shared" si="69"/>
        <v>0.52</v>
      </c>
      <c r="H144" s="59">
        <f t="shared" si="65"/>
        <v>0.32</v>
      </c>
      <c r="I144" s="60">
        <f t="shared" si="70"/>
        <v>1.9831730769230781E-3</v>
      </c>
      <c r="J144" s="60">
        <f t="shared" si="75"/>
        <v>2.9747596153846145E-2</v>
      </c>
      <c r="K144" s="160">
        <f t="shared" si="71"/>
        <v>29.747596153846146</v>
      </c>
      <c r="L144" s="131">
        <f t="shared" si="72"/>
        <v>0.61538461538461542</v>
      </c>
      <c r="M144" s="58">
        <f t="shared" si="66"/>
        <v>0.57587415730337077</v>
      </c>
      <c r="N144" s="58">
        <f t="shared" si="76"/>
        <v>1.9415264423076936E-2</v>
      </c>
      <c r="O144" s="58">
        <f t="shared" si="74"/>
        <v>9.7900000000000009</v>
      </c>
      <c r="P144" s="58">
        <f>(A144-B144)*(Equations!$G$69*$Q$121+C144)</f>
        <v>12.049230769230769</v>
      </c>
      <c r="Q144" s="58">
        <f>(A144-B144)*(Equations!$G$69*$R$121+C144)</f>
        <v>7.5307692307692307</v>
      </c>
    </row>
    <row r="145" spans="1:17">
      <c r="A145" s="58">
        <f t="shared" si="63"/>
        <v>22</v>
      </c>
      <c r="B145" s="61">
        <f t="shared" si="64"/>
        <v>3.384615384615385</v>
      </c>
      <c r="C145" s="59">
        <f t="shared" si="67"/>
        <v>0.2</v>
      </c>
      <c r="D145" s="64">
        <f>B121</f>
        <v>72.582399999999993</v>
      </c>
      <c r="E145" s="57">
        <f t="shared" si="68"/>
        <v>3.8990545454545456</v>
      </c>
      <c r="F145" s="59">
        <f>Equations!$G$69+C145</f>
        <v>0.52</v>
      </c>
      <c r="G145" s="57">
        <f t="shared" si="69"/>
        <v>0.52</v>
      </c>
      <c r="H145" s="59">
        <f t="shared" si="65"/>
        <v>0.32</v>
      </c>
      <c r="I145" s="60">
        <f t="shared" si="70"/>
        <v>1.9831730769230825E-3</v>
      </c>
      <c r="J145" s="60">
        <f t="shared" si="75"/>
        <v>3.1730769230769229E-2</v>
      </c>
      <c r="K145" s="160">
        <f t="shared" si="71"/>
        <v>31.73076923076923</v>
      </c>
      <c r="L145" s="131">
        <f t="shared" si="72"/>
        <v>0.61538461538461542</v>
      </c>
      <c r="M145" s="58">
        <f t="shared" si="66"/>
        <v>0.58317575757575757</v>
      </c>
      <c r="N145" s="58">
        <f t="shared" si="76"/>
        <v>1.9197115384615437E-2</v>
      </c>
      <c r="O145" s="58">
        <f t="shared" si="74"/>
        <v>9.68</v>
      </c>
      <c r="P145" s="58">
        <f>(A145-B145)*(Equations!$G$69*$Q$121+C145)</f>
        <v>11.913846153846153</v>
      </c>
      <c r="Q145" s="58">
        <f>(A145-B145)*(Equations!$G$69*$R$121+C145)</f>
        <v>7.4461538461538455</v>
      </c>
    </row>
    <row r="146" spans="1:17">
      <c r="A146" s="58">
        <f t="shared" si="63"/>
        <v>22</v>
      </c>
      <c r="B146" s="61">
        <f t="shared" si="64"/>
        <v>3.5961538461538463</v>
      </c>
      <c r="C146" s="59">
        <f t="shared" si="67"/>
        <v>0.2</v>
      </c>
      <c r="D146" s="64">
        <f>B121</f>
        <v>72.582399999999993</v>
      </c>
      <c r="E146" s="57">
        <f t="shared" si="68"/>
        <v>3.9438712643678158</v>
      </c>
      <c r="F146" s="59">
        <f>Equations!$G$69+C146</f>
        <v>0.52</v>
      </c>
      <c r="G146" s="57">
        <f t="shared" si="69"/>
        <v>0.52</v>
      </c>
      <c r="H146" s="59">
        <f t="shared" si="65"/>
        <v>0.32</v>
      </c>
      <c r="I146" s="60">
        <f t="shared" si="70"/>
        <v>1.9831730769230742E-3</v>
      </c>
      <c r="J146" s="60">
        <f t="shared" si="75"/>
        <v>3.3713942307692306E-2</v>
      </c>
      <c r="K146" s="160">
        <f t="shared" si="71"/>
        <v>33.713942307692307</v>
      </c>
      <c r="L146" s="131">
        <f t="shared" si="72"/>
        <v>0.61538461538461542</v>
      </c>
      <c r="M146" s="58">
        <f t="shared" si="66"/>
        <v>0.59064521072796927</v>
      </c>
      <c r="N146" s="58">
        <f t="shared" si="76"/>
        <v>1.8978966346153817E-2</v>
      </c>
      <c r="O146" s="58">
        <f t="shared" si="74"/>
        <v>9.57</v>
      </c>
      <c r="P146" s="58">
        <f>(A146-B146)*(Equations!$G$69*$Q$121+C146)</f>
        <v>11.778461538461539</v>
      </c>
      <c r="Q146" s="58">
        <f>(A146-B146)*(Equations!$G$69*$R$121+C146)</f>
        <v>7.361538461538462</v>
      </c>
    </row>
    <row r="147" spans="1:17">
      <c r="A147" s="58">
        <f t="shared" si="63"/>
        <v>22</v>
      </c>
      <c r="B147" s="61">
        <f t="shared" si="64"/>
        <v>3.8076923076923075</v>
      </c>
      <c r="C147" s="59">
        <f t="shared" si="67"/>
        <v>0.2</v>
      </c>
      <c r="D147" s="64">
        <f>B121</f>
        <v>72.582399999999993</v>
      </c>
      <c r="E147" s="57">
        <f t="shared" si="68"/>
        <v>3.9897302325581387</v>
      </c>
      <c r="F147" s="59">
        <f>Equations!$G$69+C147</f>
        <v>0.52</v>
      </c>
      <c r="G147" s="57">
        <f t="shared" si="69"/>
        <v>0.52</v>
      </c>
      <c r="H147" s="59">
        <f t="shared" si="65"/>
        <v>0.32</v>
      </c>
      <c r="I147" s="60">
        <f t="shared" si="70"/>
        <v>1.9831730769230742E-3</v>
      </c>
      <c r="J147" s="60">
        <f t="shared" si="75"/>
        <v>3.5697115384615383E-2</v>
      </c>
      <c r="K147" s="160">
        <f t="shared" si="71"/>
        <v>35.69711538461538</v>
      </c>
      <c r="L147" s="131">
        <f t="shared" si="72"/>
        <v>0.61538461538461542</v>
      </c>
      <c r="M147" s="58">
        <f t="shared" si="66"/>
        <v>0.5982883720930231</v>
      </c>
      <c r="N147" s="58">
        <f t="shared" si="76"/>
        <v>1.876081730769228E-2</v>
      </c>
      <c r="O147" s="58">
        <f t="shared" si="74"/>
        <v>9.4600000000000009</v>
      </c>
      <c r="P147" s="58">
        <f>(A147-B147)*(Equations!$G$69*$Q$121+C147)</f>
        <v>11.643076923076924</v>
      </c>
      <c r="Q147" s="58">
        <f>(A147-B147)*(Equations!$G$69*$R$121+C147)</f>
        <v>7.2769230769230777</v>
      </c>
    </row>
    <row r="148" spans="1:17">
      <c r="A148" s="58">
        <f t="shared" si="63"/>
        <v>22</v>
      </c>
      <c r="B148" s="61">
        <f t="shared" si="64"/>
        <v>4.0192307692307692</v>
      </c>
      <c r="C148" s="59">
        <f t="shared" si="67"/>
        <v>0.2</v>
      </c>
      <c r="D148" s="64">
        <f>B121</f>
        <v>72.582399999999993</v>
      </c>
      <c r="E148" s="57">
        <f t="shared" si="68"/>
        <v>4.0366682352941172</v>
      </c>
      <c r="F148" s="59">
        <f>Equations!$G$69+C148</f>
        <v>0.52</v>
      </c>
      <c r="G148" s="57">
        <f t="shared" si="69"/>
        <v>0.52</v>
      </c>
      <c r="H148" s="59">
        <f t="shared" si="65"/>
        <v>0.32</v>
      </c>
      <c r="I148" s="60">
        <f t="shared" si="70"/>
        <v>1.9831730769230781E-3</v>
      </c>
      <c r="J148" s="60">
        <f t="shared" si="75"/>
        <v>3.768028846153846E-2</v>
      </c>
      <c r="K148" s="160">
        <f t="shared" si="71"/>
        <v>37.68028846153846</v>
      </c>
      <c r="L148" s="131">
        <f t="shared" si="72"/>
        <v>0.61538461538461542</v>
      </c>
      <c r="M148" s="58">
        <f t="shared" si="66"/>
        <v>0.60611137254901948</v>
      </c>
      <c r="N148" s="58">
        <f t="shared" si="76"/>
        <v>1.8542668269230782E-2</v>
      </c>
      <c r="O148" s="58">
        <f t="shared" si="74"/>
        <v>9.35</v>
      </c>
      <c r="P148" s="58">
        <f>(A148-B148)*(Equations!$G$69*$Q$121+C148)</f>
        <v>11.507692307692308</v>
      </c>
      <c r="Q148" s="58">
        <f>(A148-B148)*(Equations!$G$69*$R$121+C148)</f>
        <v>7.1923076923076925</v>
      </c>
    </row>
    <row r="149" spans="1:17">
      <c r="A149" s="58">
        <f t="shared" si="63"/>
        <v>22</v>
      </c>
      <c r="B149" s="61">
        <f t="shared" si="64"/>
        <v>4.2307692307692308</v>
      </c>
      <c r="C149" s="59">
        <f t="shared" si="67"/>
        <v>0.2</v>
      </c>
      <c r="D149" s="64">
        <f>B121</f>
        <v>72.582399999999993</v>
      </c>
      <c r="E149" s="57">
        <f t="shared" si="68"/>
        <v>4.0847238095238092</v>
      </c>
      <c r="F149" s="59">
        <f>Equations!$G$69+C149</f>
        <v>0.52</v>
      </c>
      <c r="G149" s="57">
        <f t="shared" si="69"/>
        <v>0.52</v>
      </c>
      <c r="H149" s="59">
        <f t="shared" si="65"/>
        <v>0.32</v>
      </c>
      <c r="I149" s="60">
        <f t="shared" si="70"/>
        <v>1.9831730769230781E-3</v>
      </c>
      <c r="J149" s="60">
        <f t="shared" si="75"/>
        <v>3.9663461538461536E-2</v>
      </c>
      <c r="K149" s="160">
        <f t="shared" si="71"/>
        <v>39.663461538461533</v>
      </c>
      <c r="L149" s="131">
        <f t="shared" si="72"/>
        <v>0.61538461538461542</v>
      </c>
      <c r="M149" s="58">
        <f t="shared" si="66"/>
        <v>0.61412063492063484</v>
      </c>
      <c r="N149" s="58">
        <f t="shared" si="76"/>
        <v>1.8324519230769245E-2</v>
      </c>
      <c r="O149" s="58">
        <f t="shared" si="74"/>
        <v>9.24</v>
      </c>
      <c r="P149" s="58">
        <f>(A149-B149)*(Equations!$G$69*$Q$121+C149)</f>
        <v>11.372307692307693</v>
      </c>
      <c r="Q149" s="58">
        <f>(A149-B149)*(Equations!$G$69*$R$121+C149)</f>
        <v>7.1076923076923082</v>
      </c>
    </row>
    <row r="150" spans="1:17">
      <c r="A150" s="58">
        <f t="shared" si="63"/>
        <v>22</v>
      </c>
      <c r="B150" s="61">
        <f t="shared" si="64"/>
        <v>4.4423076923076925</v>
      </c>
      <c r="C150" s="59">
        <f t="shared" si="67"/>
        <v>0.2</v>
      </c>
      <c r="D150" s="64">
        <f>B121</f>
        <v>72.582399999999993</v>
      </c>
      <c r="E150" s="57">
        <f t="shared" si="68"/>
        <v>4.1339373493975904</v>
      </c>
      <c r="F150" s="59">
        <f>Equations!$G$69+C150</f>
        <v>0.52</v>
      </c>
      <c r="G150" s="57">
        <f t="shared" si="69"/>
        <v>0.52</v>
      </c>
      <c r="H150" s="59">
        <f t="shared" si="65"/>
        <v>0.32</v>
      </c>
      <c r="I150" s="60">
        <f t="shared" si="70"/>
        <v>1.9831730769230781E-3</v>
      </c>
      <c r="J150" s="60">
        <f t="shared" si="75"/>
        <v>4.1646634615384613E-2</v>
      </c>
      <c r="K150" s="160">
        <f t="shared" si="71"/>
        <v>41.646634615384613</v>
      </c>
      <c r="L150" s="131">
        <f t="shared" si="72"/>
        <v>0.61538461538461542</v>
      </c>
      <c r="M150" s="58">
        <f t="shared" si="66"/>
        <v>0.62232289156626508</v>
      </c>
      <c r="N150" s="58">
        <f t="shared" si="76"/>
        <v>1.8106370192307705E-2</v>
      </c>
      <c r="O150" s="58">
        <f t="shared" si="74"/>
        <v>9.129999999999999</v>
      </c>
      <c r="P150" s="58">
        <f>(A150-B150)*(Equations!$G$69*$Q$121+C150)</f>
        <v>11.236923076923077</v>
      </c>
      <c r="Q150" s="58">
        <f>(A150-B150)*(Equations!$G$69*$R$121+C150)</f>
        <v>7.023076923076923</v>
      </c>
    </row>
    <row r="151" spans="1:17">
      <c r="A151" s="58">
        <f t="shared" si="63"/>
        <v>22</v>
      </c>
      <c r="B151" s="61">
        <f t="shared" si="64"/>
        <v>4.6538461538461542</v>
      </c>
      <c r="C151" s="59">
        <f t="shared" si="67"/>
        <v>0.2</v>
      </c>
      <c r="D151" s="64">
        <f>B121</f>
        <v>72.582399999999993</v>
      </c>
      <c r="E151" s="57">
        <f t="shared" si="68"/>
        <v>4.1843512195121946</v>
      </c>
      <c r="F151" s="59">
        <f>Equations!$G$69+C151</f>
        <v>0.52</v>
      </c>
      <c r="G151" s="57">
        <f t="shared" si="69"/>
        <v>0.52</v>
      </c>
      <c r="H151" s="59">
        <f t="shared" si="65"/>
        <v>0.32</v>
      </c>
      <c r="I151" s="60">
        <f t="shared" si="70"/>
        <v>1.9831730769230781E-3</v>
      </c>
      <c r="J151" s="60">
        <f t="shared" si="75"/>
        <v>4.362980769230769E-2</v>
      </c>
      <c r="K151" s="160">
        <f t="shared" si="71"/>
        <v>43.629807692307693</v>
      </c>
      <c r="L151" s="131">
        <f t="shared" si="72"/>
        <v>0.61538461538461542</v>
      </c>
      <c r="M151" s="58">
        <f t="shared" si="66"/>
        <v>0.63072520325203241</v>
      </c>
      <c r="N151" s="58">
        <f t="shared" si="76"/>
        <v>1.7888221153846168E-2</v>
      </c>
      <c r="O151" s="58">
        <f t="shared" si="74"/>
        <v>9.0200000000000014</v>
      </c>
      <c r="P151" s="58">
        <f>(A151-B151)*(Equations!$G$69*$Q$121+C151)</f>
        <v>11.101538461538462</v>
      </c>
      <c r="Q151" s="58">
        <f>(A151-B151)*(Equations!$G$69*$R$121+C151)</f>
        <v>6.9384615384615387</v>
      </c>
    </row>
    <row r="152" spans="1:17">
      <c r="A152" s="58">
        <f t="shared" si="63"/>
        <v>22</v>
      </c>
      <c r="B152" s="61">
        <f t="shared" si="64"/>
        <v>4.865384615384615</v>
      </c>
      <c r="C152" s="59">
        <f t="shared" si="67"/>
        <v>0.2</v>
      </c>
      <c r="D152" s="64">
        <f>B121</f>
        <v>72.582399999999993</v>
      </c>
      <c r="E152" s="57">
        <f t="shared" si="68"/>
        <v>4.2360098765432088</v>
      </c>
      <c r="F152" s="59">
        <f>Equations!$G$69+C152</f>
        <v>0.52</v>
      </c>
      <c r="G152" s="57">
        <f t="shared" si="69"/>
        <v>0.52</v>
      </c>
      <c r="H152" s="59">
        <f t="shared" si="65"/>
        <v>0.32</v>
      </c>
      <c r="I152" s="60">
        <f t="shared" si="70"/>
        <v>1.9831730769230699E-3</v>
      </c>
      <c r="J152" s="60">
        <f t="shared" si="75"/>
        <v>4.561298076923076E-2</v>
      </c>
      <c r="K152" s="160">
        <f t="shared" si="71"/>
        <v>45.612980769230759</v>
      </c>
      <c r="L152" s="131">
        <f t="shared" si="72"/>
        <v>0.61538461538461542</v>
      </c>
      <c r="M152" s="58">
        <f t="shared" si="66"/>
        <v>0.63933497942386819</v>
      </c>
      <c r="N152" s="58">
        <f t="shared" si="76"/>
        <v>1.7670072115384555E-2</v>
      </c>
      <c r="O152" s="58">
        <f t="shared" si="74"/>
        <v>8.9100000000000019</v>
      </c>
      <c r="P152" s="58">
        <f>(A152-B152)*(Equations!$G$69*$Q$121+C152)</f>
        <v>10.966153846153848</v>
      </c>
      <c r="Q152" s="58">
        <f>(A152-B152)*(Equations!$G$69*$R$121+C152)</f>
        <v>6.8538461538461553</v>
      </c>
    </row>
    <row r="153" spans="1:17">
      <c r="A153" s="58">
        <f t="shared" si="63"/>
        <v>22</v>
      </c>
      <c r="B153" s="61">
        <f t="shared" si="64"/>
        <v>5.0769230769230775</v>
      </c>
      <c r="C153" s="59">
        <f t="shared" si="67"/>
        <v>0.2</v>
      </c>
      <c r="D153" s="64">
        <f>B121</f>
        <v>72.582399999999993</v>
      </c>
      <c r="E153" s="57">
        <f t="shared" si="68"/>
        <v>4.2889599999999994</v>
      </c>
      <c r="F153" s="59">
        <f>Equations!$G$69+C153</f>
        <v>0.52</v>
      </c>
      <c r="G153" s="57">
        <f t="shared" si="69"/>
        <v>0.52</v>
      </c>
      <c r="H153" s="59">
        <f t="shared" si="65"/>
        <v>0.32</v>
      </c>
      <c r="I153" s="60">
        <f t="shared" si="70"/>
        <v>1.9831730769230864E-3</v>
      </c>
      <c r="J153" s="60">
        <f t="shared" si="75"/>
        <v>4.7596153846153844E-2</v>
      </c>
      <c r="K153" s="160">
        <f t="shared" si="71"/>
        <v>47.596153846153847</v>
      </c>
      <c r="L153" s="131">
        <f t="shared" si="72"/>
        <v>0.61538461538461542</v>
      </c>
      <c r="M153" s="58">
        <f t="shared" si="66"/>
        <v>0.64815999999999996</v>
      </c>
      <c r="N153" s="58">
        <f t="shared" si="76"/>
        <v>1.7451923076923163E-2</v>
      </c>
      <c r="O153" s="58">
        <f t="shared" si="74"/>
        <v>8.8000000000000007</v>
      </c>
      <c r="P153" s="58">
        <f>(A153-B153)*(Equations!$G$69*$Q$121+C153)</f>
        <v>10.830769230769231</v>
      </c>
      <c r="Q153" s="58">
        <f>(A153-B153)*(Equations!$G$69*$R$121+C153)</f>
        <v>6.7692307692307701</v>
      </c>
    </row>
    <row r="154" spans="1:17">
      <c r="A154" s="58">
        <f t="shared" si="63"/>
        <v>22</v>
      </c>
      <c r="B154" s="61">
        <f t="shared" si="64"/>
        <v>5.2884615384615383</v>
      </c>
      <c r="C154" s="59">
        <f t="shared" si="67"/>
        <v>0.2</v>
      </c>
      <c r="D154" s="64">
        <f>B121</f>
        <v>72.582399999999993</v>
      </c>
      <c r="E154" s="57">
        <f t="shared" si="68"/>
        <v>4.343250632911392</v>
      </c>
      <c r="F154" s="59">
        <f>Equations!$G$69+C154</f>
        <v>0.52</v>
      </c>
      <c r="G154" s="57">
        <f t="shared" si="69"/>
        <v>0.52</v>
      </c>
      <c r="H154" s="59">
        <f t="shared" si="65"/>
        <v>0.32</v>
      </c>
      <c r="I154" s="60">
        <f t="shared" si="70"/>
        <v>1.9831730769230699E-3</v>
      </c>
      <c r="J154" s="60">
        <f t="shared" si="75"/>
        <v>4.9579326923076913E-2</v>
      </c>
      <c r="K154" s="160">
        <f t="shared" si="71"/>
        <v>49.579326923076913</v>
      </c>
      <c r="L154" s="131">
        <f t="shared" si="72"/>
        <v>0.61538461538461542</v>
      </c>
      <c r="M154" s="58">
        <f t="shared" si="66"/>
        <v>0.65720843881856528</v>
      </c>
      <c r="N154" s="58">
        <f t="shared" si="76"/>
        <v>1.7233774038461477E-2</v>
      </c>
      <c r="O154" s="58">
        <f t="shared" si="74"/>
        <v>8.69</v>
      </c>
      <c r="P154" s="58">
        <f>(A154-B154)*(Equations!$G$69*$Q$121+C154)</f>
        <v>10.695384615384615</v>
      </c>
      <c r="Q154" s="58">
        <f>(A154-B154)*(Equations!$G$69*$R$121+C154)</f>
        <v>6.684615384615384</v>
      </c>
    </row>
    <row r="155" spans="1:17">
      <c r="A155" s="58">
        <f t="shared" si="63"/>
        <v>22</v>
      </c>
      <c r="B155" s="61">
        <f t="shared" si="64"/>
        <v>5.5</v>
      </c>
      <c r="C155" s="59">
        <f t="shared" si="67"/>
        <v>0.2</v>
      </c>
      <c r="D155" s="64">
        <f>B121</f>
        <v>72.582399999999993</v>
      </c>
      <c r="E155" s="57">
        <f t="shared" si="68"/>
        <v>4.3989333333333329</v>
      </c>
      <c r="F155" s="59">
        <f>Equations!$G$69+C155</f>
        <v>0.52</v>
      </c>
      <c r="G155" s="57">
        <f t="shared" si="69"/>
        <v>0.52</v>
      </c>
      <c r="H155" s="59">
        <f t="shared" si="65"/>
        <v>0.32</v>
      </c>
      <c r="I155" s="60">
        <f t="shared" si="70"/>
        <v>1.9831730769230781E-3</v>
      </c>
      <c r="J155" s="60">
        <f t="shared" si="75"/>
        <v>5.156249999999999E-2</v>
      </c>
      <c r="K155" s="160">
        <f t="shared" si="71"/>
        <v>51.562499999999993</v>
      </c>
      <c r="L155" s="131">
        <f t="shared" si="72"/>
        <v>0.61538461538461542</v>
      </c>
      <c r="M155" s="58">
        <f t="shared" si="66"/>
        <v>0.6664888888888888</v>
      </c>
      <c r="N155" s="58">
        <f t="shared" si="76"/>
        <v>1.701562500000001E-2</v>
      </c>
      <c r="O155" s="58">
        <f t="shared" si="74"/>
        <v>8.58</v>
      </c>
      <c r="P155" s="58">
        <f>(A155-B155)*(Equations!$G$69*$Q$121+C155)</f>
        <v>10.56</v>
      </c>
      <c r="Q155" s="58">
        <f>(A155-B155)*(Equations!$G$69*$R$121+C155)</f>
        <v>6.6000000000000005</v>
      </c>
    </row>
    <row r="156" spans="1:17">
      <c r="A156" s="58">
        <f t="shared" si="63"/>
        <v>22</v>
      </c>
      <c r="B156" s="61">
        <f t="shared" si="64"/>
        <v>5.7115384615384617</v>
      </c>
      <c r="C156" s="59">
        <f t="shared" si="67"/>
        <v>0.2</v>
      </c>
      <c r="D156" s="64">
        <f>B121</f>
        <v>72.582399999999993</v>
      </c>
      <c r="E156" s="57">
        <f t="shared" si="68"/>
        <v>4.4560623376623365</v>
      </c>
      <c r="F156" s="59">
        <f>Equations!$G$69+C156</f>
        <v>0.52</v>
      </c>
      <c r="G156" s="57">
        <f t="shared" si="69"/>
        <v>0.52</v>
      </c>
      <c r="H156" s="59">
        <f t="shared" si="65"/>
        <v>0.32</v>
      </c>
      <c r="I156" s="60">
        <f t="shared" si="70"/>
        <v>1.9831730769230781E-3</v>
      </c>
      <c r="J156" s="60">
        <f t="shared" si="75"/>
        <v>5.3545673076923067E-2</v>
      </c>
      <c r="K156" s="160">
        <f t="shared" si="71"/>
        <v>53.545673076923066</v>
      </c>
      <c r="L156" s="131">
        <f t="shared" si="72"/>
        <v>0.61538461538461542</v>
      </c>
      <c r="M156" s="58">
        <f t="shared" si="66"/>
        <v>0.67601038961038928</v>
      </c>
      <c r="N156" s="58">
        <f t="shared" si="76"/>
        <v>1.6797475961538473E-2</v>
      </c>
      <c r="O156" s="58">
        <f t="shared" si="74"/>
        <v>8.4700000000000006</v>
      </c>
      <c r="P156" s="58">
        <f>(A156-B156)*(Equations!$G$69*$Q$121+C156)</f>
        <v>10.424615384615386</v>
      </c>
      <c r="Q156" s="58">
        <f>(A156-B156)*(Equations!$G$69*$R$121+C156)</f>
        <v>6.5153846153846162</v>
      </c>
    </row>
    <row r="157" spans="1:17">
      <c r="A157" s="58">
        <f t="shared" si="63"/>
        <v>22</v>
      </c>
      <c r="B157" s="61">
        <f t="shared" si="64"/>
        <v>5.9230769230769225</v>
      </c>
      <c r="C157" s="59">
        <f t="shared" si="67"/>
        <v>0.2</v>
      </c>
      <c r="D157" s="64">
        <f>B121</f>
        <v>72.582399999999993</v>
      </c>
      <c r="E157" s="57">
        <f t="shared" si="68"/>
        <v>4.5146947368421051</v>
      </c>
      <c r="F157" s="59">
        <f>Equations!$G$69+C157</f>
        <v>0.52</v>
      </c>
      <c r="G157" s="57">
        <f t="shared" si="69"/>
        <v>0.52</v>
      </c>
      <c r="H157" s="59">
        <f t="shared" si="65"/>
        <v>0.32</v>
      </c>
      <c r="I157" s="60">
        <f t="shared" si="70"/>
        <v>1.9831730769230699E-3</v>
      </c>
      <c r="J157" s="60">
        <f t="shared" si="75"/>
        <v>5.5528846153846137E-2</v>
      </c>
      <c r="K157" s="160">
        <f t="shared" si="71"/>
        <v>55.528846153846139</v>
      </c>
      <c r="L157" s="131">
        <f t="shared" si="72"/>
        <v>0.61538461538461542</v>
      </c>
      <c r="M157" s="58">
        <f t="shared" si="66"/>
        <v>0.68578245614035072</v>
      </c>
      <c r="N157" s="58">
        <f t="shared" si="76"/>
        <v>1.6579326923076863E-2</v>
      </c>
      <c r="O157" s="58">
        <f t="shared" si="74"/>
        <v>8.36</v>
      </c>
      <c r="P157" s="58">
        <f>(A157-B157)*(Equations!$G$69*$Q$121+C157)</f>
        <v>10.28923076923077</v>
      </c>
      <c r="Q157" s="58">
        <f>(A157-B157)*(Equations!$G$69*$R$121+C157)</f>
        <v>6.430769230769231</v>
      </c>
    </row>
    <row r="158" spans="1:17">
      <c r="A158" s="58">
        <f t="shared" si="63"/>
        <v>22</v>
      </c>
      <c r="B158" s="61">
        <f t="shared" si="64"/>
        <v>6.134615384615385</v>
      </c>
      <c r="C158" s="59">
        <f t="shared" si="67"/>
        <v>0.2</v>
      </c>
      <c r="D158" s="64">
        <f>B121</f>
        <v>72.582399999999993</v>
      </c>
      <c r="E158" s="57">
        <f t="shared" si="68"/>
        <v>4.5748906666666667</v>
      </c>
      <c r="F158" s="59">
        <f>Equations!$G$69+C158</f>
        <v>0.52</v>
      </c>
      <c r="G158" s="57">
        <f t="shared" si="69"/>
        <v>0.52</v>
      </c>
      <c r="H158" s="59">
        <f t="shared" si="65"/>
        <v>0.32</v>
      </c>
      <c r="I158" s="60">
        <f t="shared" si="70"/>
        <v>1.9831730769230864E-3</v>
      </c>
      <c r="J158" s="60">
        <f t="shared" si="75"/>
        <v>5.7512019230769221E-2</v>
      </c>
      <c r="K158" s="160">
        <f t="shared" si="71"/>
        <v>57.512019230769219</v>
      </c>
      <c r="L158" s="131">
        <f t="shared" si="72"/>
        <v>0.61538461538461542</v>
      </c>
      <c r="M158" s="58">
        <f t="shared" si="66"/>
        <v>0.69581511111111105</v>
      </c>
      <c r="N158" s="58">
        <f t="shared" si="76"/>
        <v>1.6361177884615465E-2</v>
      </c>
      <c r="O158" s="58">
        <f t="shared" si="74"/>
        <v>8.25</v>
      </c>
      <c r="P158" s="58">
        <f>(A158-B158)*(Equations!$G$69*$Q$121+C158)</f>
        <v>10.153846153846153</v>
      </c>
      <c r="Q158" s="58">
        <f>(A158-B158)*(Equations!$G$69*$R$121+C158)</f>
        <v>6.3461538461538467</v>
      </c>
    </row>
    <row r="159" spans="1:17">
      <c r="A159" s="58">
        <f t="shared" si="63"/>
        <v>22</v>
      </c>
      <c r="B159" s="61">
        <f t="shared" si="64"/>
        <v>6.3461538461538458</v>
      </c>
      <c r="C159" s="59">
        <f t="shared" si="67"/>
        <v>0.2</v>
      </c>
      <c r="D159" s="64">
        <f>B121</f>
        <v>72.582399999999993</v>
      </c>
      <c r="E159" s="57">
        <f t="shared" si="68"/>
        <v>4.6367135135135129</v>
      </c>
      <c r="F159" s="59">
        <f>Equations!$G$69+C159</f>
        <v>0.52</v>
      </c>
      <c r="G159" s="57">
        <f t="shared" si="69"/>
        <v>0.52</v>
      </c>
      <c r="H159" s="59">
        <f t="shared" si="65"/>
        <v>0.32</v>
      </c>
      <c r="I159" s="60">
        <f t="shared" si="70"/>
        <v>1.9831730769230699E-3</v>
      </c>
      <c r="J159" s="60">
        <f t="shared" si="75"/>
        <v>5.9495192307692291E-2</v>
      </c>
      <c r="K159" s="160">
        <f t="shared" si="71"/>
        <v>59.495192307692292</v>
      </c>
      <c r="L159" s="131">
        <f t="shared" si="72"/>
        <v>0.61538461538461542</v>
      </c>
      <c r="M159" s="58">
        <f t="shared" si="66"/>
        <v>0.70611891891891876</v>
      </c>
      <c r="N159" s="58">
        <f t="shared" si="76"/>
        <v>1.614302884615379E-2</v>
      </c>
      <c r="O159" s="58">
        <f t="shared" si="74"/>
        <v>8.14</v>
      </c>
      <c r="P159" s="58">
        <f>(A159-B159)*(Equations!$G$69*$Q$121+C159)</f>
        <v>10.018461538461539</v>
      </c>
      <c r="Q159" s="58">
        <f>(A159-B159)*(Equations!$G$69*$R$121+C159)</f>
        <v>6.2615384615384615</v>
      </c>
    </row>
    <row r="160" spans="1:17">
      <c r="A160" s="58">
        <f t="shared" si="63"/>
        <v>22</v>
      </c>
      <c r="B160" s="61">
        <f t="shared" si="64"/>
        <v>6.5576923076923075</v>
      </c>
      <c r="C160" s="59">
        <f t="shared" si="67"/>
        <v>0.2</v>
      </c>
      <c r="D160" s="64">
        <f>B121</f>
        <v>72.582399999999993</v>
      </c>
      <c r="E160" s="57">
        <f t="shared" si="68"/>
        <v>4.7002301369863009</v>
      </c>
      <c r="F160" s="59">
        <f>Equations!$G$69+C160</f>
        <v>0.52</v>
      </c>
      <c r="G160" s="57">
        <f t="shared" si="69"/>
        <v>0.52</v>
      </c>
      <c r="H160" s="59">
        <f t="shared" si="65"/>
        <v>0.32</v>
      </c>
      <c r="I160" s="60">
        <f t="shared" si="70"/>
        <v>1.9831730769230781E-3</v>
      </c>
      <c r="J160" s="60">
        <f t="shared" si="75"/>
        <v>6.1478365384615367E-2</v>
      </c>
      <c r="K160" s="160">
        <f t="shared" si="71"/>
        <v>61.478365384615365</v>
      </c>
      <c r="L160" s="131">
        <f t="shared" si="72"/>
        <v>0.61538461538461542</v>
      </c>
      <c r="M160" s="58">
        <f t="shared" si="66"/>
        <v>0.71670502283105009</v>
      </c>
      <c r="N160" s="58">
        <f t="shared" si="76"/>
        <v>1.5924879807692319E-2</v>
      </c>
      <c r="O160" s="58">
        <f t="shared" si="74"/>
        <v>8.0300000000000011</v>
      </c>
      <c r="P160" s="58">
        <f>(A160-B160)*(Equations!$G$69*$Q$121+C160)</f>
        <v>9.8830769230769242</v>
      </c>
      <c r="Q160" s="58">
        <f>(A160-B160)*(Equations!$G$69*$R$121+C160)</f>
        <v>6.1769230769230781</v>
      </c>
    </row>
    <row r="161" spans="1:17">
      <c r="A161" s="58">
        <f t="shared" si="63"/>
        <v>22</v>
      </c>
      <c r="B161" s="61">
        <f t="shared" ref="B161:B192" si="77">VINMAX*((ROW()-129)/104)</f>
        <v>6.7692307692307701</v>
      </c>
      <c r="C161" s="59">
        <f t="shared" si="67"/>
        <v>0.2</v>
      </c>
      <c r="D161" s="64">
        <f>B121</f>
        <v>72.582399999999993</v>
      </c>
      <c r="E161" s="57">
        <f t="shared" si="68"/>
        <v>4.7655111111111106</v>
      </c>
      <c r="F161" s="59">
        <f>Equations!$G$69+C161</f>
        <v>0.52</v>
      </c>
      <c r="G161" s="57">
        <f t="shared" si="69"/>
        <v>0.52</v>
      </c>
      <c r="H161" s="59">
        <f t="shared" si="65"/>
        <v>0.32</v>
      </c>
      <c r="I161" s="60">
        <f t="shared" si="70"/>
        <v>1.9831730769230864E-3</v>
      </c>
      <c r="J161" s="60">
        <f t="shared" si="75"/>
        <v>6.3461538461538458E-2</v>
      </c>
      <c r="K161" s="160">
        <f t="shared" si="71"/>
        <v>63.46153846153846</v>
      </c>
      <c r="L161" s="131">
        <f t="shared" si="72"/>
        <v>0.61538461538461542</v>
      </c>
      <c r="M161" s="58">
        <f t="shared" si="66"/>
        <v>0.727585185185185</v>
      </c>
      <c r="N161" s="58">
        <f t="shared" si="76"/>
        <v>1.5706730769230844E-2</v>
      </c>
      <c r="O161" s="58">
        <f t="shared" si="74"/>
        <v>7.92</v>
      </c>
      <c r="P161" s="58">
        <f>(A161-B161)*(Equations!$G$69*$Q$121+C161)</f>
        <v>9.7476923076923079</v>
      </c>
      <c r="Q161" s="58">
        <f>(A161-B161)*(Equations!$G$69*$R$121+C161)</f>
        <v>6.092307692307692</v>
      </c>
    </row>
    <row r="162" spans="1:17">
      <c r="A162" s="58">
        <f t="shared" si="63"/>
        <v>22</v>
      </c>
      <c r="B162" s="61">
        <f t="shared" si="77"/>
        <v>6.9807692307692299</v>
      </c>
      <c r="C162" s="59">
        <f t="shared" si="67"/>
        <v>0.2</v>
      </c>
      <c r="D162" s="64">
        <f>B121</f>
        <v>72.582399999999993</v>
      </c>
      <c r="E162" s="57">
        <f t="shared" si="68"/>
        <v>4.8326309859154923</v>
      </c>
      <c r="F162" s="59">
        <f>Equations!$G$69+C162</f>
        <v>0.52</v>
      </c>
      <c r="G162" s="57">
        <f t="shared" si="69"/>
        <v>0.52</v>
      </c>
      <c r="H162" s="59">
        <f t="shared" si="65"/>
        <v>0.32</v>
      </c>
      <c r="I162" s="60">
        <f t="shared" si="70"/>
        <v>1.9831730769230616E-3</v>
      </c>
      <c r="J162" s="60">
        <f t="shared" si="75"/>
        <v>6.5444711538461514E-2</v>
      </c>
      <c r="K162" s="160">
        <f t="shared" si="71"/>
        <v>65.444711538461519</v>
      </c>
      <c r="L162" s="131">
        <f t="shared" si="72"/>
        <v>0.61538461538461542</v>
      </c>
      <c r="M162" s="58">
        <f t="shared" si="66"/>
        <v>0.73877183098591537</v>
      </c>
      <c r="N162" s="58">
        <f t="shared" si="76"/>
        <v>1.5488581730769111E-2</v>
      </c>
      <c r="O162" s="58">
        <f t="shared" si="74"/>
        <v>7.8100000000000005</v>
      </c>
      <c r="P162" s="58">
        <f>(A162-B162)*(Equations!$G$69*$Q$121+C162)</f>
        <v>9.6123076923076933</v>
      </c>
      <c r="Q162" s="58">
        <f>(A162-B162)*(Equations!$G$69*$R$121+C162)</f>
        <v>6.0076923076923086</v>
      </c>
    </row>
    <row r="163" spans="1:17">
      <c r="A163" s="58">
        <f t="shared" si="63"/>
        <v>22</v>
      </c>
      <c r="B163" s="61">
        <f t="shared" si="77"/>
        <v>7.1923076923076925</v>
      </c>
      <c r="C163" s="59">
        <f t="shared" si="67"/>
        <v>0.2</v>
      </c>
      <c r="D163" s="64">
        <f>B121</f>
        <v>72.582399999999993</v>
      </c>
      <c r="E163" s="57">
        <f t="shared" si="68"/>
        <v>4.901668571428571</v>
      </c>
      <c r="F163" s="59">
        <f>Equations!$G$69+C163</f>
        <v>0.52</v>
      </c>
      <c r="G163" s="57">
        <f t="shared" si="69"/>
        <v>0.52</v>
      </c>
      <c r="H163" s="59">
        <f t="shared" si="65"/>
        <v>0.32</v>
      </c>
      <c r="I163" s="60">
        <f t="shared" si="70"/>
        <v>1.9831730769230864E-3</v>
      </c>
      <c r="J163" s="60">
        <f t="shared" si="75"/>
        <v>6.7427884615384598E-2</v>
      </c>
      <c r="K163" s="160">
        <f t="shared" si="71"/>
        <v>67.427884615384599</v>
      </c>
      <c r="L163" s="131">
        <f t="shared" si="72"/>
        <v>0.61538461538461542</v>
      </c>
      <c r="M163" s="58">
        <f t="shared" si="66"/>
        <v>0.75027809523809519</v>
      </c>
      <c r="N163" s="58">
        <f t="shared" si="76"/>
        <v>1.5270432692307765E-2</v>
      </c>
      <c r="O163" s="58">
        <f t="shared" si="74"/>
        <v>7.6999999999999993</v>
      </c>
      <c r="P163" s="58">
        <f>(A163-B163)*(Equations!$G$69*$Q$121+C163)</f>
        <v>9.476923076923077</v>
      </c>
      <c r="Q163" s="58">
        <f>(A163-B163)*(Equations!$G$69*$R$121+C163)</f>
        <v>5.9230769230769234</v>
      </c>
    </row>
    <row r="164" spans="1:17">
      <c r="A164" s="58">
        <f t="shared" si="63"/>
        <v>22</v>
      </c>
      <c r="B164" s="61">
        <f t="shared" si="77"/>
        <v>7.4038461538461542</v>
      </c>
      <c r="C164" s="59">
        <f t="shared" si="67"/>
        <v>0.2</v>
      </c>
      <c r="D164" s="64">
        <f>B121</f>
        <v>72.582399999999993</v>
      </c>
      <c r="E164" s="57">
        <f t="shared" si="68"/>
        <v>4.9727072463768112</v>
      </c>
      <c r="F164" s="59">
        <f>Equations!$G$69+C164</f>
        <v>0.52</v>
      </c>
      <c r="G164" s="57">
        <f t="shared" si="69"/>
        <v>0.52</v>
      </c>
      <c r="H164" s="59">
        <f t="shared" si="65"/>
        <v>0.32</v>
      </c>
      <c r="I164" s="60">
        <f t="shared" si="70"/>
        <v>1.9831730769230781E-3</v>
      </c>
      <c r="J164" s="60">
        <f t="shared" si="75"/>
        <v>6.9411057692307682E-2</v>
      </c>
      <c r="K164" s="160">
        <f t="shared" si="71"/>
        <v>69.411057692307679</v>
      </c>
      <c r="L164" s="131">
        <f t="shared" si="72"/>
        <v>0.61538461538461542</v>
      </c>
      <c r="M164" s="58">
        <f t="shared" si="66"/>
        <v>0.7621178743961351</v>
      </c>
      <c r="N164" s="58">
        <f t="shared" si="76"/>
        <v>1.5052283653846164E-2</v>
      </c>
      <c r="O164" s="58">
        <f t="shared" si="74"/>
        <v>7.5900000000000007</v>
      </c>
      <c r="P164" s="58">
        <f>(A164-B164)*(Equations!$G$69*$Q$121+C164)</f>
        <v>9.3415384615384625</v>
      </c>
      <c r="Q164" s="58">
        <f>(A164-B164)*(Equations!$G$69*$R$121+C164)</f>
        <v>5.838461538461539</v>
      </c>
    </row>
    <row r="165" spans="1:17">
      <c r="A165" s="58">
        <f t="shared" si="63"/>
        <v>22</v>
      </c>
      <c r="B165" s="61">
        <f t="shared" si="77"/>
        <v>7.615384615384615</v>
      </c>
      <c r="C165" s="59">
        <f t="shared" si="67"/>
        <v>0.2</v>
      </c>
      <c r="D165" s="64">
        <f>B121</f>
        <v>72.582399999999993</v>
      </c>
      <c r="E165" s="57">
        <f t="shared" si="68"/>
        <v>5.0458352941176461</v>
      </c>
      <c r="F165" s="59">
        <f>Equations!$G$69+C165</f>
        <v>0.52</v>
      </c>
      <c r="G165" s="57">
        <f t="shared" si="69"/>
        <v>0.52</v>
      </c>
      <c r="H165" s="59">
        <f t="shared" si="65"/>
        <v>0.32</v>
      </c>
      <c r="I165" s="60">
        <f t="shared" si="70"/>
        <v>1.9831730769230699E-3</v>
      </c>
      <c r="J165" s="60">
        <f t="shared" si="75"/>
        <v>7.1394230769230752E-2</v>
      </c>
      <c r="K165" s="160">
        <f t="shared" si="71"/>
        <v>71.394230769230745</v>
      </c>
      <c r="L165" s="131">
        <f t="shared" si="72"/>
        <v>0.61538461538461542</v>
      </c>
      <c r="M165" s="58">
        <f t="shared" si="66"/>
        <v>0.77430588235294096</v>
      </c>
      <c r="N165" s="58">
        <f t="shared" si="76"/>
        <v>1.4834134615384563E-2</v>
      </c>
      <c r="O165" s="58">
        <f t="shared" si="74"/>
        <v>7.48</v>
      </c>
      <c r="P165" s="58">
        <f>(A165-B165)*(Equations!$G$69*$Q$121+C165)</f>
        <v>9.2061538461538461</v>
      </c>
      <c r="Q165" s="58">
        <f>(A165-B165)*(Equations!$G$69*$R$121+C165)</f>
        <v>5.7538461538461547</v>
      </c>
    </row>
    <row r="166" spans="1:17">
      <c r="A166" s="58">
        <f t="shared" si="63"/>
        <v>22</v>
      </c>
      <c r="B166" s="61">
        <f t="shared" si="77"/>
        <v>7.8269230769230775</v>
      </c>
      <c r="C166" s="59">
        <f t="shared" si="67"/>
        <v>0.2</v>
      </c>
      <c r="D166" s="64">
        <f>B121</f>
        <v>72.582399999999993</v>
      </c>
      <c r="E166" s="57">
        <f t="shared" si="68"/>
        <v>5.121146268656716</v>
      </c>
      <c r="F166" s="59">
        <f>Equations!$G$69+C166</f>
        <v>0.52</v>
      </c>
      <c r="G166" s="57">
        <f t="shared" si="69"/>
        <v>0.52</v>
      </c>
      <c r="H166" s="59">
        <f t="shared" si="65"/>
        <v>0.32</v>
      </c>
      <c r="I166" s="60">
        <f t="shared" si="70"/>
        <v>1.9831730769230864E-3</v>
      </c>
      <c r="J166" s="60">
        <f t="shared" si="75"/>
        <v>7.3377403846153835E-2</v>
      </c>
      <c r="K166" s="160">
        <f t="shared" si="71"/>
        <v>73.37740384615384</v>
      </c>
      <c r="L166" s="131">
        <f t="shared" si="72"/>
        <v>0.61538461538461542</v>
      </c>
      <c r="M166" s="58">
        <f t="shared" si="66"/>
        <v>0.78685771144278593</v>
      </c>
      <c r="N166" s="58">
        <f t="shared" si="76"/>
        <v>1.4615985576923148E-2</v>
      </c>
      <c r="O166" s="58">
        <f t="shared" si="74"/>
        <v>7.37</v>
      </c>
      <c r="P166" s="58">
        <f>(A166-B166)*(Equations!$G$69*$Q$121+C166)</f>
        <v>9.0707692307692316</v>
      </c>
      <c r="Q166" s="58">
        <f>(A166-B166)*(Equations!$G$69*$R$121+C166)</f>
        <v>5.6692307692307695</v>
      </c>
    </row>
    <row r="167" spans="1:17">
      <c r="A167" s="58">
        <f t="shared" si="63"/>
        <v>22</v>
      </c>
      <c r="B167" s="61">
        <f t="shared" si="77"/>
        <v>8.0384615384615383</v>
      </c>
      <c r="C167" s="59">
        <f t="shared" si="67"/>
        <v>0.2</v>
      </c>
      <c r="D167" s="64">
        <f>B121</f>
        <v>72.582399999999993</v>
      </c>
      <c r="E167" s="57">
        <f t="shared" si="68"/>
        <v>5.1987393939393938</v>
      </c>
      <c r="F167" s="59">
        <f>Equations!$G$69+C167</f>
        <v>0.52</v>
      </c>
      <c r="G167" s="57">
        <f t="shared" si="69"/>
        <v>0.52</v>
      </c>
      <c r="H167" s="59">
        <f t="shared" si="65"/>
        <v>0.32</v>
      </c>
      <c r="I167" s="60">
        <f t="shared" si="70"/>
        <v>1.9831730769230699E-3</v>
      </c>
      <c r="J167" s="60">
        <f t="shared" si="75"/>
        <v>7.5360576923076905E-2</v>
      </c>
      <c r="K167" s="160">
        <f t="shared" si="71"/>
        <v>75.360576923076906</v>
      </c>
      <c r="L167" s="131">
        <f t="shared" si="72"/>
        <v>0.61538461538461542</v>
      </c>
      <c r="M167" s="58">
        <f t="shared" si="66"/>
        <v>0.79978989898989883</v>
      </c>
      <c r="N167" s="58">
        <f t="shared" si="76"/>
        <v>1.4397836538461488E-2</v>
      </c>
      <c r="O167" s="58">
        <f t="shared" si="74"/>
        <v>7.2600000000000007</v>
      </c>
      <c r="P167" s="58">
        <f>(A167-B167)*(Equations!$G$69*$Q$121+C167)</f>
        <v>8.9353846153846153</v>
      </c>
      <c r="Q167" s="58">
        <f>(A167-B167)*(Equations!$G$69*$R$121+C167)</f>
        <v>5.5846153846153852</v>
      </c>
    </row>
    <row r="168" spans="1:17">
      <c r="A168" s="58">
        <f t="shared" si="63"/>
        <v>22</v>
      </c>
      <c r="B168" s="61">
        <f t="shared" si="77"/>
        <v>8.25</v>
      </c>
      <c r="C168" s="59">
        <f t="shared" si="67"/>
        <v>0.2</v>
      </c>
      <c r="D168" s="64">
        <f>B121</f>
        <v>72.582399999999993</v>
      </c>
      <c r="E168" s="57">
        <f t="shared" si="68"/>
        <v>5.2787199999999999</v>
      </c>
      <c r="F168" s="59">
        <f>Equations!$G$69+C168</f>
        <v>0.52</v>
      </c>
      <c r="G168" s="57">
        <f t="shared" si="69"/>
        <v>0.52</v>
      </c>
      <c r="H168" s="59">
        <f t="shared" si="65"/>
        <v>0.32</v>
      </c>
      <c r="I168" s="60">
        <f t="shared" si="70"/>
        <v>1.9831730769230781E-3</v>
      </c>
      <c r="J168" s="60">
        <f t="shared" si="75"/>
        <v>7.7343749999999989E-2</v>
      </c>
      <c r="K168" s="160">
        <f t="shared" si="71"/>
        <v>77.343749999999986</v>
      </c>
      <c r="L168" s="131">
        <f t="shared" si="72"/>
        <v>0.61538461538461542</v>
      </c>
      <c r="M168" s="58">
        <f t="shared" si="66"/>
        <v>0.81311999999999984</v>
      </c>
      <c r="N168" s="58">
        <f t="shared" si="76"/>
        <v>1.417968750000001E-2</v>
      </c>
      <c r="O168" s="58">
        <f t="shared" si="74"/>
        <v>7.15</v>
      </c>
      <c r="P168" s="58">
        <f>(A168-B168)*(Equations!$G$69*$Q$121+C168)</f>
        <v>8.8000000000000007</v>
      </c>
      <c r="Q168" s="58">
        <f>(A168-B168)*(Equations!$G$69*$R$121+C168)</f>
        <v>5.5</v>
      </c>
    </row>
    <row r="169" spans="1:17">
      <c r="A169" s="58">
        <f t="shared" si="63"/>
        <v>22</v>
      </c>
      <c r="B169" s="61">
        <f t="shared" si="77"/>
        <v>8.4615384615384617</v>
      </c>
      <c r="C169" s="59">
        <f t="shared" si="67"/>
        <v>0.2</v>
      </c>
      <c r="D169" s="64">
        <f>B121</f>
        <v>72.582399999999993</v>
      </c>
      <c r="E169" s="57">
        <f t="shared" si="68"/>
        <v>5.3611999999999993</v>
      </c>
      <c r="F169" s="59">
        <f>Equations!$G$69+C169</f>
        <v>0.52</v>
      </c>
      <c r="G169" s="57">
        <f t="shared" si="69"/>
        <v>0.52</v>
      </c>
      <c r="H169" s="59">
        <f t="shared" si="65"/>
        <v>0.32</v>
      </c>
      <c r="I169" s="60">
        <f t="shared" si="70"/>
        <v>1.9831730769230781E-3</v>
      </c>
      <c r="J169" s="60">
        <f t="shared" si="75"/>
        <v>7.9326923076923073E-2</v>
      </c>
      <c r="K169" s="160">
        <f t="shared" si="71"/>
        <v>79.326923076923066</v>
      </c>
      <c r="L169" s="131">
        <f t="shared" si="72"/>
        <v>0.61538461538461542</v>
      </c>
      <c r="M169" s="58">
        <f t="shared" si="66"/>
        <v>0.82686666666666642</v>
      </c>
      <c r="N169" s="58">
        <f t="shared" si="76"/>
        <v>1.3961538461538471E-2</v>
      </c>
      <c r="O169" s="58">
        <f t="shared" si="74"/>
        <v>7.04</v>
      </c>
      <c r="P169" s="58">
        <f>(A169-B169)*(Equations!$G$69*$Q$121+C169)</f>
        <v>8.6646153846153844</v>
      </c>
      <c r="Q169" s="58">
        <f>(A169-B169)*(Equations!$G$69*$R$121+C169)</f>
        <v>5.4153846153846157</v>
      </c>
    </row>
    <row r="170" spans="1:17">
      <c r="A170" s="58">
        <f t="shared" si="63"/>
        <v>22</v>
      </c>
      <c r="B170" s="61">
        <f t="shared" si="77"/>
        <v>8.6730769230769234</v>
      </c>
      <c r="C170" s="59">
        <f t="shared" si="67"/>
        <v>0.2</v>
      </c>
      <c r="D170" s="64">
        <f>B121</f>
        <v>72.582399999999993</v>
      </c>
      <c r="E170" s="57">
        <f t="shared" si="68"/>
        <v>5.446298412698412</v>
      </c>
      <c r="F170" s="59">
        <f>Equations!$G$69+C170</f>
        <v>0.52</v>
      </c>
      <c r="G170" s="57">
        <f t="shared" si="69"/>
        <v>0.52</v>
      </c>
      <c r="H170" s="59">
        <f t="shared" si="65"/>
        <v>0.32</v>
      </c>
      <c r="I170" s="60">
        <f t="shared" si="70"/>
        <v>1.9831730769230781E-3</v>
      </c>
      <c r="J170" s="60">
        <f t="shared" si="75"/>
        <v>8.1310096153846156E-2</v>
      </c>
      <c r="K170" s="160">
        <f t="shared" si="71"/>
        <v>81.31009615384616</v>
      </c>
      <c r="L170" s="131">
        <f t="shared" si="72"/>
        <v>0.61538461538461542</v>
      </c>
      <c r="M170" s="58">
        <f t="shared" si="66"/>
        <v>0.84104973544973527</v>
      </c>
      <c r="N170" s="58">
        <f t="shared" si="76"/>
        <v>1.3743389423076933E-2</v>
      </c>
      <c r="O170" s="58">
        <f t="shared" si="74"/>
        <v>6.93</v>
      </c>
      <c r="P170" s="58">
        <f>(A170-B170)*(Equations!$G$69*$Q$121+C170)</f>
        <v>8.5292307692307698</v>
      </c>
      <c r="Q170" s="58">
        <f>(A170-B170)*(Equations!$G$69*$R$121+C170)</f>
        <v>5.3307692307692314</v>
      </c>
    </row>
    <row r="171" spans="1:17">
      <c r="A171" s="58">
        <f t="shared" si="63"/>
        <v>22</v>
      </c>
      <c r="B171" s="61">
        <f t="shared" si="77"/>
        <v>8.884615384615385</v>
      </c>
      <c r="C171" s="59">
        <f t="shared" si="67"/>
        <v>0.2</v>
      </c>
      <c r="D171" s="64">
        <f>B121</f>
        <v>72.582399999999993</v>
      </c>
      <c r="E171" s="57">
        <f t="shared" si="68"/>
        <v>5.5341419354838708</v>
      </c>
      <c r="F171" s="59">
        <f>Equations!$G$69+C171</f>
        <v>0.52</v>
      </c>
      <c r="G171" s="57">
        <f t="shared" si="69"/>
        <v>0.52</v>
      </c>
      <c r="H171" s="59">
        <f t="shared" si="65"/>
        <v>0.32</v>
      </c>
      <c r="I171" s="60">
        <f t="shared" si="70"/>
        <v>1.9831730769230781E-3</v>
      </c>
      <c r="J171" s="60">
        <f t="shared" si="75"/>
        <v>8.329326923076924E-2</v>
      </c>
      <c r="K171" s="160">
        <f t="shared" si="71"/>
        <v>83.293269230769241</v>
      </c>
      <c r="L171" s="131">
        <f t="shared" si="72"/>
        <v>0.61538461538461542</v>
      </c>
      <c r="M171" s="58">
        <f t="shared" si="66"/>
        <v>0.85569032258064504</v>
      </c>
      <c r="N171" s="58">
        <f t="shared" si="76"/>
        <v>1.3525240384615394E-2</v>
      </c>
      <c r="O171" s="58">
        <f t="shared" si="74"/>
        <v>6.82</v>
      </c>
      <c r="P171" s="58">
        <f>(A171-B171)*(Equations!$G$69*$Q$121+C171)</f>
        <v>8.3938461538461535</v>
      </c>
      <c r="Q171" s="58">
        <f>(A171-B171)*(Equations!$G$69*$R$121+C171)</f>
        <v>5.2461538461538462</v>
      </c>
    </row>
    <row r="172" spans="1:17">
      <c r="A172" s="58">
        <f t="shared" si="63"/>
        <v>22</v>
      </c>
      <c r="B172" s="61">
        <f t="shared" si="77"/>
        <v>9.0961538461538449</v>
      </c>
      <c r="C172" s="59">
        <f t="shared" si="67"/>
        <v>0.2</v>
      </c>
      <c r="D172" s="64">
        <f>B121</f>
        <v>72.582399999999993</v>
      </c>
      <c r="E172" s="57">
        <f t="shared" si="68"/>
        <v>5.6248655737704905</v>
      </c>
      <c r="F172" s="59">
        <f>Equations!$G$69+C172</f>
        <v>0.52</v>
      </c>
      <c r="G172" s="57">
        <f t="shared" si="69"/>
        <v>0.52</v>
      </c>
      <c r="H172" s="59">
        <f t="shared" si="65"/>
        <v>0.32</v>
      </c>
      <c r="I172" s="60">
        <f t="shared" si="70"/>
        <v>1.9831730769230616E-3</v>
      </c>
      <c r="J172" s="60">
        <f t="shared" si="75"/>
        <v>8.5276442307692296E-2</v>
      </c>
      <c r="K172" s="160">
        <f t="shared" si="71"/>
        <v>85.276442307692292</v>
      </c>
      <c r="L172" s="131">
        <f t="shared" si="72"/>
        <v>0.61538461538461542</v>
      </c>
      <c r="M172" s="58">
        <f t="shared" si="66"/>
        <v>0.87081092896174828</v>
      </c>
      <c r="N172" s="58">
        <f t="shared" si="76"/>
        <v>1.3307091346153745E-2</v>
      </c>
      <c r="O172" s="58">
        <f t="shared" si="74"/>
        <v>6.7100000000000009</v>
      </c>
      <c r="P172" s="58">
        <f>(A172-B172)*(Equations!$G$69*$Q$121+C172)</f>
        <v>8.258461538461539</v>
      </c>
      <c r="Q172" s="58">
        <f>(A172-B172)*(Equations!$G$69*$R$121+C172)</f>
        <v>5.1615384615384627</v>
      </c>
    </row>
    <row r="173" spans="1:17">
      <c r="A173" s="58">
        <f t="shared" si="63"/>
        <v>22</v>
      </c>
      <c r="B173" s="61">
        <f t="shared" si="77"/>
        <v>9.3076923076923084</v>
      </c>
      <c r="C173" s="59">
        <f t="shared" si="67"/>
        <v>0.2</v>
      </c>
      <c r="D173" s="64">
        <f>B121</f>
        <v>72.582399999999993</v>
      </c>
      <c r="E173" s="57">
        <f t="shared" si="68"/>
        <v>5.7186133333333329</v>
      </c>
      <c r="F173" s="59">
        <f>Equations!$G$69+C173</f>
        <v>0.52</v>
      </c>
      <c r="G173" s="57">
        <f t="shared" si="69"/>
        <v>0.52</v>
      </c>
      <c r="H173" s="59">
        <f t="shared" si="65"/>
        <v>0.32</v>
      </c>
      <c r="I173" s="60">
        <f t="shared" si="70"/>
        <v>1.983173076923095E-3</v>
      </c>
      <c r="J173" s="60">
        <f t="shared" si="75"/>
        <v>8.7259615384615394E-2</v>
      </c>
      <c r="K173" s="160">
        <f t="shared" si="71"/>
        <v>87.259615384615387</v>
      </c>
      <c r="L173" s="131">
        <f t="shared" si="72"/>
        <v>0.61538461538461542</v>
      </c>
      <c r="M173" s="58">
        <f t="shared" si="66"/>
        <v>0.88643555555555542</v>
      </c>
      <c r="N173" s="58">
        <f t="shared" si="76"/>
        <v>1.3088942307692426E-2</v>
      </c>
      <c r="O173" s="58">
        <f t="shared" si="74"/>
        <v>6.6</v>
      </c>
      <c r="P173" s="58">
        <f>(A173-B173)*(Equations!$G$69*$Q$121+C173)</f>
        <v>8.1230769230769226</v>
      </c>
      <c r="Q173" s="58">
        <f>(A173-B173)*(Equations!$G$69*$R$121+C173)</f>
        <v>5.0769230769230766</v>
      </c>
    </row>
    <row r="174" spans="1:17">
      <c r="A174" s="58">
        <f t="shared" si="63"/>
        <v>22</v>
      </c>
      <c r="B174" s="61">
        <f t="shared" si="77"/>
        <v>9.5192307692307701</v>
      </c>
      <c r="C174" s="59">
        <f t="shared" si="67"/>
        <v>0.2</v>
      </c>
      <c r="D174" s="64">
        <f>B121</f>
        <v>72.582399999999993</v>
      </c>
      <c r="E174" s="57">
        <f t="shared" si="68"/>
        <v>5.815538983050847</v>
      </c>
      <c r="F174" s="59">
        <f>Equations!$G$69+C174</f>
        <v>0.52</v>
      </c>
      <c r="G174" s="57">
        <f t="shared" si="69"/>
        <v>0.52</v>
      </c>
      <c r="H174" s="59">
        <f t="shared" si="65"/>
        <v>0.32</v>
      </c>
      <c r="I174" s="60">
        <f t="shared" si="70"/>
        <v>1.9831730769230781E-3</v>
      </c>
      <c r="J174" s="60">
        <f t="shared" si="75"/>
        <v>8.9242788461538478E-2</v>
      </c>
      <c r="K174" s="160">
        <f t="shared" si="71"/>
        <v>89.242788461538481</v>
      </c>
      <c r="L174" s="131">
        <f t="shared" si="72"/>
        <v>0.61538461538461542</v>
      </c>
      <c r="M174" s="58">
        <f t="shared" si="66"/>
        <v>0.90258983050847441</v>
      </c>
      <c r="N174" s="58">
        <f t="shared" si="76"/>
        <v>1.2870793269230777E-2</v>
      </c>
      <c r="O174" s="58">
        <f t="shared" si="74"/>
        <v>6.49</v>
      </c>
      <c r="P174" s="58">
        <f>(A174-B174)*(Equations!$G$69*$Q$121+C174)</f>
        <v>7.9876923076923072</v>
      </c>
      <c r="Q174" s="58">
        <f>(A174-B174)*(Equations!$G$69*$R$121+C174)</f>
        <v>4.9923076923076923</v>
      </c>
    </row>
    <row r="175" spans="1:17">
      <c r="A175" s="58">
        <f t="shared" si="63"/>
        <v>22</v>
      </c>
      <c r="B175" s="61">
        <f t="shared" si="77"/>
        <v>9.7307692307692299</v>
      </c>
      <c r="C175" s="59">
        <f t="shared" si="67"/>
        <v>0.2</v>
      </c>
      <c r="D175" s="64">
        <f>B121</f>
        <v>72.582399999999993</v>
      </c>
      <c r="E175" s="57">
        <f t="shared" si="68"/>
        <v>5.9158068965517234</v>
      </c>
      <c r="F175" s="59">
        <f>Equations!$G$69+C175</f>
        <v>0.52</v>
      </c>
      <c r="G175" s="57">
        <f t="shared" si="69"/>
        <v>0.52</v>
      </c>
      <c r="H175" s="59">
        <f t="shared" si="65"/>
        <v>0.32</v>
      </c>
      <c r="I175" s="60">
        <f t="shared" si="70"/>
        <v>1.9831730769230616E-3</v>
      </c>
      <c r="J175" s="60">
        <f t="shared" si="75"/>
        <v>9.1225961538461534E-2</v>
      </c>
      <c r="K175" s="160">
        <f t="shared" si="71"/>
        <v>91.225961538461533</v>
      </c>
      <c r="L175" s="131">
        <f t="shared" si="72"/>
        <v>0.61538461538461542</v>
      </c>
      <c r="M175" s="58">
        <f t="shared" si="66"/>
        <v>0.91930114942528707</v>
      </c>
      <c r="N175" s="58">
        <f t="shared" si="76"/>
        <v>1.2652644230769134E-2</v>
      </c>
      <c r="O175" s="58">
        <f t="shared" si="74"/>
        <v>6.3800000000000008</v>
      </c>
      <c r="P175" s="58">
        <f>(A175-B175)*(Equations!$G$69*$Q$121+C175)</f>
        <v>7.8523076923076927</v>
      </c>
      <c r="Q175" s="58">
        <f>(A175-B175)*(Equations!$G$69*$R$121+C175)</f>
        <v>4.907692307692308</v>
      </c>
    </row>
    <row r="176" spans="1:17">
      <c r="A176" s="58">
        <f t="shared" si="63"/>
        <v>22</v>
      </c>
      <c r="B176" s="61">
        <f t="shared" si="77"/>
        <v>9.9423076923076916</v>
      </c>
      <c r="C176" s="59">
        <f t="shared" si="67"/>
        <v>0.2</v>
      </c>
      <c r="D176" s="64">
        <f>B121</f>
        <v>72.582399999999993</v>
      </c>
      <c r="E176" s="57">
        <f t="shared" si="68"/>
        <v>6.0195929824561398</v>
      </c>
      <c r="F176" s="59">
        <f>Equations!$G$69+C176</f>
        <v>0.52</v>
      </c>
      <c r="G176" s="57">
        <f t="shared" si="69"/>
        <v>0.52</v>
      </c>
      <c r="H176" s="59">
        <f t="shared" si="65"/>
        <v>0.32</v>
      </c>
      <c r="I176" s="60">
        <f t="shared" si="70"/>
        <v>1.9831730769230781E-3</v>
      </c>
      <c r="J176" s="60">
        <f t="shared" si="75"/>
        <v>9.3209134615384617E-2</v>
      </c>
      <c r="K176" s="160">
        <f t="shared" si="71"/>
        <v>93.209134615384613</v>
      </c>
      <c r="L176" s="131">
        <f t="shared" si="72"/>
        <v>0.61538461538461542</v>
      </c>
      <c r="M176" s="58">
        <f t="shared" si="66"/>
        <v>0.93659883040935654</v>
      </c>
      <c r="N176" s="58">
        <f t="shared" si="76"/>
        <v>1.2434495192307701E-2</v>
      </c>
      <c r="O176" s="58">
        <f t="shared" si="74"/>
        <v>6.2700000000000005</v>
      </c>
      <c r="P176" s="58">
        <f>(A176-B176)*(Equations!$G$69*$Q$121+C176)</f>
        <v>7.7169230769230772</v>
      </c>
      <c r="Q176" s="58">
        <f>(A176-B176)*(Equations!$G$69*$R$121+C176)</f>
        <v>4.8230769230769237</v>
      </c>
    </row>
    <row r="177" spans="1:17">
      <c r="A177" s="58">
        <f t="shared" si="63"/>
        <v>22</v>
      </c>
      <c r="B177" s="61">
        <f t="shared" si="77"/>
        <v>10.153846153846155</v>
      </c>
      <c r="C177" s="59">
        <f t="shared" si="67"/>
        <v>0.2</v>
      </c>
      <c r="D177" s="64">
        <f>B121</f>
        <v>72.582399999999993</v>
      </c>
      <c r="E177" s="57">
        <f t="shared" si="68"/>
        <v>6.1270857142857142</v>
      </c>
      <c r="F177" s="59">
        <f>Equations!$G$69+C177</f>
        <v>0.52</v>
      </c>
      <c r="G177" s="57">
        <f t="shared" si="69"/>
        <v>0.52</v>
      </c>
      <c r="H177" s="59">
        <f t="shared" si="65"/>
        <v>0.32</v>
      </c>
      <c r="I177" s="60">
        <f t="shared" si="70"/>
        <v>1.983173076923095E-3</v>
      </c>
      <c r="J177" s="60">
        <f t="shared" si="75"/>
        <v>9.5192307692307715E-2</v>
      </c>
      <c r="K177" s="160">
        <f t="shared" si="71"/>
        <v>95.192307692307722</v>
      </c>
      <c r="L177" s="131">
        <f t="shared" si="72"/>
        <v>0.61538461538461542</v>
      </c>
      <c r="M177" s="58">
        <f t="shared" si="66"/>
        <v>0.95451428571428565</v>
      </c>
      <c r="N177" s="58">
        <f t="shared" si="76"/>
        <v>1.2216346153846263E-2</v>
      </c>
      <c r="O177" s="58">
        <f t="shared" si="74"/>
        <v>6.1599999999999993</v>
      </c>
      <c r="P177" s="58">
        <f>(A177-B177)*(Equations!$G$69*$Q$121+C177)</f>
        <v>7.5815384615384609</v>
      </c>
      <c r="Q177" s="58">
        <f>(A177-B177)*(Equations!$G$69*$R$121+C177)</f>
        <v>4.7384615384615385</v>
      </c>
    </row>
    <row r="178" spans="1:17">
      <c r="A178" s="58">
        <f t="shared" si="63"/>
        <v>22</v>
      </c>
      <c r="B178" s="61">
        <f t="shared" si="77"/>
        <v>10.365384615384615</v>
      </c>
      <c r="C178" s="59">
        <f t="shared" si="67"/>
        <v>0.2</v>
      </c>
      <c r="D178" s="64">
        <f>B121</f>
        <v>72.582399999999993</v>
      </c>
      <c r="E178" s="57">
        <f t="shared" si="68"/>
        <v>6.238487272727272</v>
      </c>
      <c r="F178" s="59">
        <f>Equations!$G$69+C178</f>
        <v>0.52</v>
      </c>
      <c r="G178" s="57">
        <f t="shared" si="69"/>
        <v>0.52</v>
      </c>
      <c r="H178" s="59">
        <f t="shared" si="65"/>
        <v>0.32</v>
      </c>
      <c r="I178" s="60">
        <f t="shared" si="70"/>
        <v>1.9831730769230616E-3</v>
      </c>
      <c r="J178" s="60">
        <f t="shared" si="75"/>
        <v>9.7175480769230771E-2</v>
      </c>
      <c r="K178" s="160">
        <f t="shared" si="71"/>
        <v>97.175480769230774</v>
      </c>
      <c r="L178" s="131">
        <f t="shared" si="72"/>
        <v>0.61538461538461542</v>
      </c>
      <c r="M178" s="58">
        <f t="shared" si="66"/>
        <v>0.9730812121212119</v>
      </c>
      <c r="N178" s="58">
        <f t="shared" si="76"/>
        <v>1.1998197115384523E-2</v>
      </c>
      <c r="O178" s="58">
        <f t="shared" si="74"/>
        <v>6.0500000000000007</v>
      </c>
      <c r="P178" s="58">
        <f>(A178-B178)*(Equations!$G$69*$Q$121+C178)</f>
        <v>7.4461538461538463</v>
      </c>
      <c r="Q178" s="58">
        <f>(A178-B178)*(Equations!$G$69*$R$121+C178)</f>
        <v>4.6538461538461542</v>
      </c>
    </row>
    <row r="179" spans="1:17">
      <c r="A179" s="58">
        <f t="shared" si="63"/>
        <v>22</v>
      </c>
      <c r="B179" s="61">
        <f t="shared" si="77"/>
        <v>10.576923076923077</v>
      </c>
      <c r="C179" s="59">
        <f t="shared" si="67"/>
        <v>0.2</v>
      </c>
      <c r="D179" s="64">
        <f>B121</f>
        <v>72.582399999999993</v>
      </c>
      <c r="E179" s="57">
        <f t="shared" si="68"/>
        <v>6.3540148148148141</v>
      </c>
      <c r="F179" s="59">
        <f>Equations!$G$69+C179</f>
        <v>0.52</v>
      </c>
      <c r="G179" s="57">
        <f t="shared" si="69"/>
        <v>0.52</v>
      </c>
      <c r="H179" s="59">
        <f t="shared" si="65"/>
        <v>0.32</v>
      </c>
      <c r="I179" s="60">
        <f t="shared" si="70"/>
        <v>1.9831730769230781E-3</v>
      </c>
      <c r="J179" s="60">
        <f t="shared" si="75"/>
        <v>9.9158653846153855E-2</v>
      </c>
      <c r="K179" s="160">
        <f t="shared" si="71"/>
        <v>99.158653846153854</v>
      </c>
      <c r="L179" s="131">
        <f t="shared" si="72"/>
        <v>0.61538461538461542</v>
      </c>
      <c r="M179" s="58">
        <f t="shared" si="66"/>
        <v>0.99233580246913566</v>
      </c>
      <c r="N179" s="58">
        <f t="shared" si="76"/>
        <v>1.1780048076923086E-2</v>
      </c>
      <c r="O179" s="58">
        <f t="shared" si="74"/>
        <v>5.94</v>
      </c>
      <c r="P179" s="58">
        <f>(A179-B179)*(Equations!$G$69*$Q$121+C179)</f>
        <v>7.3107692307692309</v>
      </c>
      <c r="Q179" s="58">
        <f>(A179-B179)*(Equations!$G$69*$R$121+C179)</f>
        <v>4.5692307692307699</v>
      </c>
    </row>
    <row r="180" spans="1:17">
      <c r="A180" s="58">
        <f t="shared" si="63"/>
        <v>22</v>
      </c>
      <c r="B180" s="61">
        <f t="shared" si="77"/>
        <v>10.788461538461538</v>
      </c>
      <c r="C180" s="59">
        <f t="shared" si="67"/>
        <v>0.2</v>
      </c>
      <c r="D180" s="64">
        <f>B121</f>
        <v>72.582399999999993</v>
      </c>
      <c r="E180" s="57">
        <f t="shared" si="68"/>
        <v>6.4739018867924525</v>
      </c>
      <c r="F180" s="59">
        <f>Equations!$G$69+C180</f>
        <v>0.52</v>
      </c>
      <c r="G180" s="57">
        <f t="shared" si="69"/>
        <v>0.52</v>
      </c>
      <c r="H180" s="59">
        <f t="shared" si="65"/>
        <v>0.32</v>
      </c>
      <c r="I180" s="60">
        <f t="shared" si="70"/>
        <v>1.9831730769230781E-3</v>
      </c>
      <c r="J180" s="60">
        <f t="shared" si="75"/>
        <v>0.10114182692307694</v>
      </c>
      <c r="K180" s="160">
        <f t="shared" si="71"/>
        <v>101.14182692307693</v>
      </c>
      <c r="L180" s="131">
        <f t="shared" si="72"/>
        <v>0.61538461538461542</v>
      </c>
      <c r="M180" s="58">
        <f t="shared" si="66"/>
        <v>1.0123169811320754</v>
      </c>
      <c r="N180" s="58">
        <f>I180*G180*(A180-B180)</f>
        <v>1.1561899038461547E-2</v>
      </c>
      <c r="O180" s="58">
        <f t="shared" si="74"/>
        <v>5.83</v>
      </c>
      <c r="P180" s="58">
        <f>(A180-B180)*(Equations!$G$69*$Q$121+C180)</f>
        <v>7.1753846153846155</v>
      </c>
      <c r="Q180" s="58">
        <f>(A180-B180)*(Equations!$G$69*$R$121+C180)</f>
        <v>4.4846153846153847</v>
      </c>
    </row>
    <row r="181" spans="1:17">
      <c r="A181" s="58">
        <f t="shared" si="63"/>
        <v>22</v>
      </c>
      <c r="B181" s="61">
        <f t="shared" si="77"/>
        <v>11</v>
      </c>
      <c r="C181" s="59">
        <f t="shared" si="67"/>
        <v>0.2</v>
      </c>
      <c r="D181" s="64">
        <f>B121</f>
        <v>72.582399999999993</v>
      </c>
      <c r="E181" s="57">
        <f t="shared" si="68"/>
        <v>6.5983999999999989</v>
      </c>
      <c r="F181" s="59">
        <f>Equations!$G$69+C181</f>
        <v>0.52</v>
      </c>
      <c r="G181" s="57">
        <f t="shared" si="69"/>
        <v>0.52</v>
      </c>
      <c r="H181" s="59">
        <f t="shared" si="65"/>
        <v>0.32</v>
      </c>
      <c r="I181" s="60">
        <f t="shared" si="70"/>
        <v>1.9831730769230781E-3</v>
      </c>
      <c r="J181" s="60">
        <f t="shared" si="75"/>
        <v>0.10312500000000002</v>
      </c>
      <c r="K181" s="160">
        <f t="shared" si="71"/>
        <v>103.12500000000003</v>
      </c>
      <c r="L181" s="131">
        <f t="shared" si="72"/>
        <v>0.61538461538461542</v>
      </c>
      <c r="M181" s="58">
        <f t="shared" si="66"/>
        <v>1.0330666666666664</v>
      </c>
      <c r="N181" s="58">
        <f t="shared" ref="N181:N229" si="78">I181*G181*(A181-B181)</f>
        <v>1.1343750000000008E-2</v>
      </c>
      <c r="O181" s="58">
        <f t="shared" si="74"/>
        <v>5.7200000000000006</v>
      </c>
      <c r="P181" s="58">
        <f>(A181-B181)*(Equations!$G$69*$Q$121+C181)</f>
        <v>7.04</v>
      </c>
      <c r="Q181" s="58">
        <f>(A181-B181)*(Equations!$G$69*$R$121+C181)</f>
        <v>4.4000000000000004</v>
      </c>
    </row>
    <row r="182" spans="1:17">
      <c r="A182" s="58">
        <f t="shared" si="63"/>
        <v>22</v>
      </c>
      <c r="B182" s="61">
        <f t="shared" si="77"/>
        <v>11.21153846153846</v>
      </c>
      <c r="C182" s="59">
        <f t="shared" si="67"/>
        <v>0.2</v>
      </c>
      <c r="D182" s="64">
        <f>B121</f>
        <v>72.582399999999993</v>
      </c>
      <c r="E182" s="57">
        <f t="shared" si="68"/>
        <v>6.7277803921568609</v>
      </c>
      <c r="F182" s="59">
        <f>Equations!$G$69+C182</f>
        <v>0.52</v>
      </c>
      <c r="G182" s="57">
        <f t="shared" si="69"/>
        <v>0.52</v>
      </c>
      <c r="H182" s="59">
        <f t="shared" si="65"/>
        <v>0.32</v>
      </c>
      <c r="I182" s="60">
        <f t="shared" si="70"/>
        <v>1.9831730769230616E-3</v>
      </c>
      <c r="J182" s="60">
        <f t="shared" si="75"/>
        <v>0.10510817307692308</v>
      </c>
      <c r="K182" s="160">
        <f t="shared" si="71"/>
        <v>105.10817307692308</v>
      </c>
      <c r="L182" s="131">
        <f t="shared" si="72"/>
        <v>0.61538461538461542</v>
      </c>
      <c r="M182" s="58">
        <f t="shared" si="66"/>
        <v>1.0546300653594767</v>
      </c>
      <c r="N182" s="58">
        <f t="shared" si="78"/>
        <v>1.1125600961538378E-2</v>
      </c>
      <c r="O182" s="58">
        <f t="shared" si="74"/>
        <v>5.6100000000000012</v>
      </c>
      <c r="P182" s="58">
        <f>(A182-B182)*(Equations!$G$69*$Q$121+C182)</f>
        <v>6.9046153846153855</v>
      </c>
      <c r="Q182" s="58">
        <f>(A182-B182)*(Equations!$G$69*$R$121+C182)</f>
        <v>4.315384615384616</v>
      </c>
    </row>
    <row r="183" spans="1:17">
      <c r="A183" s="58">
        <f t="shared" si="63"/>
        <v>22</v>
      </c>
      <c r="B183" s="61">
        <f t="shared" si="77"/>
        <v>11.423076923076923</v>
      </c>
      <c r="C183" s="59">
        <f t="shared" si="67"/>
        <v>0.2</v>
      </c>
      <c r="D183" s="64">
        <f>B121</f>
        <v>72.582399999999993</v>
      </c>
      <c r="E183" s="57">
        <f t="shared" si="68"/>
        <v>6.8623359999999991</v>
      </c>
      <c r="F183" s="59">
        <f>Equations!$G$69+C183</f>
        <v>0.52</v>
      </c>
      <c r="G183" s="57">
        <f t="shared" si="69"/>
        <v>0.52</v>
      </c>
      <c r="H183" s="59">
        <f t="shared" si="65"/>
        <v>0.32</v>
      </c>
      <c r="I183" s="60">
        <f t="shared" si="70"/>
        <v>1.983173076923095E-3</v>
      </c>
      <c r="J183" s="60">
        <f t="shared" si="75"/>
        <v>0.10709134615384618</v>
      </c>
      <c r="K183" s="160">
        <f t="shared" si="71"/>
        <v>107.09134615384617</v>
      </c>
      <c r="L183" s="131">
        <f t="shared" si="72"/>
        <v>0.61538461538461542</v>
      </c>
      <c r="M183" s="58">
        <f t="shared" si="66"/>
        <v>1.0770559999999998</v>
      </c>
      <c r="N183" s="58">
        <f t="shared" si="78"/>
        <v>1.0907451923077021E-2</v>
      </c>
      <c r="O183" s="58">
        <f t="shared" si="74"/>
        <v>5.5</v>
      </c>
      <c r="P183" s="58">
        <f>(A183-B183)*(Equations!$G$69*$Q$121+C183)</f>
        <v>6.7692307692307692</v>
      </c>
      <c r="Q183" s="58">
        <f>(A183-B183)*(Equations!$G$69*$R$121+C183)</f>
        <v>4.2307692307692308</v>
      </c>
    </row>
    <row r="184" spans="1:17">
      <c r="A184" s="58">
        <f t="shared" si="63"/>
        <v>22</v>
      </c>
      <c r="B184" s="61">
        <f t="shared" si="77"/>
        <v>11.634615384615385</v>
      </c>
      <c r="C184" s="59">
        <f t="shared" si="67"/>
        <v>0.2</v>
      </c>
      <c r="D184" s="64">
        <f>B121</f>
        <v>72.582399999999993</v>
      </c>
      <c r="E184" s="57">
        <f t="shared" si="68"/>
        <v>7.0023836734693869</v>
      </c>
      <c r="F184" s="59">
        <f>Equations!$G$69+C184</f>
        <v>0.52</v>
      </c>
      <c r="G184" s="57">
        <f t="shared" si="69"/>
        <v>0.52</v>
      </c>
      <c r="H184" s="59">
        <f t="shared" si="65"/>
        <v>0.32</v>
      </c>
      <c r="I184" s="60">
        <f t="shared" si="70"/>
        <v>1.9831730769230781E-3</v>
      </c>
      <c r="J184" s="60">
        <f t="shared" si="75"/>
        <v>0.10907451923076926</v>
      </c>
      <c r="K184" s="160">
        <f t="shared" si="71"/>
        <v>109.07451923076925</v>
      </c>
      <c r="L184" s="131">
        <f t="shared" si="72"/>
        <v>0.61538461538461542</v>
      </c>
      <c r="M184" s="58">
        <f t="shared" si="66"/>
        <v>1.1003972789115644</v>
      </c>
      <c r="N184" s="58">
        <f t="shared" si="78"/>
        <v>1.0689302884615391E-2</v>
      </c>
      <c r="O184" s="58">
        <f t="shared" si="74"/>
        <v>5.39</v>
      </c>
      <c r="P184" s="58">
        <f>(A184-B184)*(Equations!$G$69*$Q$121+C184)</f>
        <v>6.6338461538461537</v>
      </c>
      <c r="Q184" s="58">
        <f>(A184-B184)*(Equations!$G$69*$R$121+C184)</f>
        <v>4.1461538461538465</v>
      </c>
    </row>
    <row r="185" spans="1:17">
      <c r="A185" s="58">
        <f t="shared" si="63"/>
        <v>22</v>
      </c>
      <c r="B185" s="61">
        <f t="shared" si="77"/>
        <v>11.846153846153845</v>
      </c>
      <c r="C185" s="59">
        <f t="shared" si="67"/>
        <v>0.2</v>
      </c>
      <c r="D185" s="64">
        <f>B121</f>
        <v>72.582399999999993</v>
      </c>
      <c r="E185" s="57">
        <f t="shared" si="68"/>
        <v>7.1482666666666654</v>
      </c>
      <c r="F185" s="59">
        <f>Equations!$G$69+C185</f>
        <v>0.52</v>
      </c>
      <c r="G185" s="57">
        <f t="shared" si="69"/>
        <v>0.52</v>
      </c>
      <c r="H185" s="59">
        <f t="shared" si="65"/>
        <v>0.32</v>
      </c>
      <c r="I185" s="60">
        <f t="shared" si="70"/>
        <v>1.9831730769230616E-3</v>
      </c>
      <c r="J185" s="60">
        <f t="shared" si="75"/>
        <v>0.11105769230769232</v>
      </c>
      <c r="K185" s="160">
        <f t="shared" si="71"/>
        <v>111.05769230769232</v>
      </c>
      <c r="L185" s="131">
        <f t="shared" si="72"/>
        <v>0.61538461538461542</v>
      </c>
      <c r="M185" s="58">
        <f t="shared" si="66"/>
        <v>1.1247111111111108</v>
      </c>
      <c r="N185" s="58">
        <f t="shared" si="78"/>
        <v>1.0471153846153767E-2</v>
      </c>
      <c r="O185" s="58">
        <f t="shared" si="74"/>
        <v>5.2800000000000011</v>
      </c>
      <c r="P185" s="58">
        <f>(A185-B185)*(Equations!$G$69*$Q$121+C185)</f>
        <v>6.4984615384615392</v>
      </c>
      <c r="Q185" s="58">
        <f>(A185-B185)*(Equations!$G$69*$R$121+C185)</f>
        <v>4.0615384615384622</v>
      </c>
    </row>
    <row r="186" spans="1:17">
      <c r="A186" s="58">
        <f t="shared" si="63"/>
        <v>22</v>
      </c>
      <c r="B186" s="61">
        <f t="shared" si="77"/>
        <v>12.057692307692308</v>
      </c>
      <c r="C186" s="59">
        <f t="shared" si="67"/>
        <v>0.2</v>
      </c>
      <c r="D186" s="64">
        <f>B121</f>
        <v>72.582399999999993</v>
      </c>
      <c r="E186" s="57">
        <f t="shared" si="68"/>
        <v>7.3003574468085102</v>
      </c>
      <c r="F186" s="59">
        <f>Equations!$G$69+C186</f>
        <v>0.52</v>
      </c>
      <c r="G186" s="57">
        <f t="shared" si="69"/>
        <v>0.52</v>
      </c>
      <c r="H186" s="59">
        <f t="shared" si="65"/>
        <v>0.32</v>
      </c>
      <c r="I186" s="60">
        <f t="shared" si="70"/>
        <v>1.983173076923095E-3</v>
      </c>
      <c r="J186" s="60">
        <f t="shared" si="75"/>
        <v>0.11304086538461541</v>
      </c>
      <c r="K186" s="160">
        <f t="shared" si="71"/>
        <v>113.04086538461542</v>
      </c>
      <c r="L186" s="131">
        <f t="shared" si="72"/>
        <v>0.61538461538461542</v>
      </c>
      <c r="M186" s="58">
        <f t="shared" si="66"/>
        <v>1.150059574468085</v>
      </c>
      <c r="N186" s="58">
        <f t="shared" si="78"/>
        <v>1.02530048076924E-2</v>
      </c>
      <c r="O186" s="58">
        <f t="shared" si="74"/>
        <v>5.17</v>
      </c>
      <c r="P186" s="58">
        <f>(A186-B186)*(Equations!$G$69*$Q$121+C186)</f>
        <v>6.3630769230769229</v>
      </c>
      <c r="Q186" s="58">
        <f>(A186-B186)*(Equations!$G$69*$R$121+C186)</f>
        <v>3.976923076923077</v>
      </c>
    </row>
    <row r="187" spans="1:17">
      <c r="A187" s="58">
        <f t="shared" si="63"/>
        <v>22</v>
      </c>
      <c r="B187" s="61">
        <f t="shared" si="77"/>
        <v>12.26923076923077</v>
      </c>
      <c r="C187" s="59">
        <f t="shared" si="67"/>
        <v>0.2</v>
      </c>
      <c r="D187" s="64">
        <f>B121</f>
        <v>72.582399999999993</v>
      </c>
      <c r="E187" s="57">
        <f t="shared" si="68"/>
        <v>7.4590608695652172</v>
      </c>
      <c r="F187" s="59">
        <f>Equations!$G$69+C187</f>
        <v>0.52</v>
      </c>
      <c r="G187" s="57">
        <f t="shared" si="69"/>
        <v>0.52</v>
      </c>
      <c r="H187" s="59">
        <f t="shared" si="65"/>
        <v>0.32</v>
      </c>
      <c r="I187" s="60">
        <f t="shared" si="70"/>
        <v>1.9831730769230781E-3</v>
      </c>
      <c r="J187" s="60">
        <f t="shared" si="75"/>
        <v>0.1150240384615385</v>
      </c>
      <c r="K187" s="160">
        <f t="shared" si="71"/>
        <v>115.0240384615385</v>
      </c>
      <c r="L187" s="131">
        <f t="shared" si="72"/>
        <v>0.61538461538461542</v>
      </c>
      <c r="M187" s="58">
        <f t="shared" si="66"/>
        <v>1.1765101449275361</v>
      </c>
      <c r="N187" s="58">
        <f t="shared" si="78"/>
        <v>1.0034855769230775E-2</v>
      </c>
      <c r="O187" s="58">
        <f t="shared" si="74"/>
        <v>5.0599999999999996</v>
      </c>
      <c r="P187" s="58">
        <f>(A187-B187)*(Equations!$G$69*$Q$121+C187)</f>
        <v>6.2276923076923074</v>
      </c>
      <c r="Q187" s="58">
        <f>(A187-B187)*(Equations!$G$69*$R$121+C187)</f>
        <v>3.8923076923076922</v>
      </c>
    </row>
    <row r="188" spans="1:17">
      <c r="A188" s="58">
        <f t="shared" si="63"/>
        <v>22</v>
      </c>
      <c r="B188" s="61">
        <f t="shared" si="77"/>
        <v>12.48076923076923</v>
      </c>
      <c r="C188" s="59">
        <f t="shared" si="67"/>
        <v>0.2</v>
      </c>
      <c r="D188" s="64">
        <f>B121</f>
        <v>72.582399999999993</v>
      </c>
      <c r="E188" s="57">
        <f t="shared" si="68"/>
        <v>7.6248177777777766</v>
      </c>
      <c r="F188" s="59">
        <f>Equations!$G$69+C188</f>
        <v>0.52</v>
      </c>
      <c r="G188" s="57">
        <f t="shared" si="69"/>
        <v>0.52</v>
      </c>
      <c r="H188" s="59">
        <f t="shared" si="65"/>
        <v>0.32</v>
      </c>
      <c r="I188" s="60">
        <f t="shared" si="70"/>
        <v>1.9831730769230616E-3</v>
      </c>
      <c r="J188" s="60">
        <f t="shared" si="75"/>
        <v>0.11700721153846155</v>
      </c>
      <c r="K188" s="160">
        <f t="shared" si="71"/>
        <v>117.00721153846155</v>
      </c>
      <c r="L188" s="131">
        <f t="shared" si="72"/>
        <v>0.61538461538461542</v>
      </c>
      <c r="M188" s="58">
        <f t="shared" si="66"/>
        <v>1.204136296296296</v>
      </c>
      <c r="N188" s="58">
        <f t="shared" si="78"/>
        <v>9.816706730769155E-3</v>
      </c>
      <c r="O188" s="58">
        <f t="shared" si="74"/>
        <v>4.95</v>
      </c>
      <c r="P188" s="58">
        <f>(A188-B188)*(Equations!$G$69*$Q$121+C188)</f>
        <v>6.0923076923076929</v>
      </c>
      <c r="Q188" s="58">
        <f>(A188-B188)*(Equations!$G$69*$R$121+C188)</f>
        <v>3.8076923076923084</v>
      </c>
    </row>
    <row r="189" spans="1:17">
      <c r="A189" s="58">
        <f t="shared" si="63"/>
        <v>22</v>
      </c>
      <c r="B189" s="61">
        <f t="shared" si="77"/>
        <v>12.692307692307692</v>
      </c>
      <c r="C189" s="59">
        <f t="shared" si="67"/>
        <v>0.2</v>
      </c>
      <c r="D189" s="64">
        <f>B121</f>
        <v>72.582399999999993</v>
      </c>
      <c r="E189" s="57">
        <f t="shared" si="68"/>
        <v>7.7981090909090893</v>
      </c>
      <c r="F189" s="59">
        <f>Equations!$G$69+C189</f>
        <v>0.52</v>
      </c>
      <c r="G189" s="57">
        <f t="shared" si="69"/>
        <v>0.52</v>
      </c>
      <c r="H189" s="59">
        <f t="shared" si="65"/>
        <v>0.32</v>
      </c>
      <c r="I189" s="60">
        <f t="shared" si="70"/>
        <v>1.9831730769230781E-3</v>
      </c>
      <c r="J189" s="60">
        <f t="shared" si="75"/>
        <v>0.11899038461538464</v>
      </c>
      <c r="K189" s="160">
        <f t="shared" si="71"/>
        <v>118.99038461538464</v>
      </c>
      <c r="L189" s="131">
        <f t="shared" si="72"/>
        <v>0.61538461538461542</v>
      </c>
      <c r="M189" s="58">
        <f t="shared" si="66"/>
        <v>1.2330181818181813</v>
      </c>
      <c r="N189" s="58">
        <f t="shared" si="78"/>
        <v>9.5985576923076996E-3</v>
      </c>
      <c r="O189" s="58">
        <f t="shared" si="74"/>
        <v>4.8400000000000007</v>
      </c>
      <c r="P189" s="58">
        <f>(A189-B189)*(Equations!$G$69*$Q$121+C189)</f>
        <v>5.9569230769230774</v>
      </c>
      <c r="Q189" s="58">
        <f>(A189-B189)*(Equations!$G$69*$R$121+C189)</f>
        <v>3.7230769230769236</v>
      </c>
    </row>
    <row r="190" spans="1:17">
      <c r="A190" s="58">
        <f t="shared" si="63"/>
        <v>22</v>
      </c>
      <c r="B190" s="61">
        <f t="shared" si="77"/>
        <v>12.903846153846155</v>
      </c>
      <c r="C190" s="59">
        <f t="shared" si="67"/>
        <v>0.2</v>
      </c>
      <c r="D190" s="64">
        <f>B121</f>
        <v>72.582399999999993</v>
      </c>
      <c r="E190" s="57">
        <f t="shared" si="68"/>
        <v>7.9794604651162793</v>
      </c>
      <c r="F190" s="59">
        <f>Equations!$G$69+C190</f>
        <v>0.52</v>
      </c>
      <c r="G190" s="57">
        <f t="shared" si="69"/>
        <v>0.52</v>
      </c>
      <c r="H190" s="59">
        <f t="shared" si="65"/>
        <v>0.32</v>
      </c>
      <c r="I190" s="60">
        <f t="shared" si="70"/>
        <v>1.983173076923095E-3</v>
      </c>
      <c r="J190" s="60">
        <f t="shared" si="75"/>
        <v>0.12097355769230773</v>
      </c>
      <c r="K190" s="160">
        <f t="shared" si="71"/>
        <v>120.97355769230774</v>
      </c>
      <c r="L190" s="131">
        <f t="shared" si="72"/>
        <v>0.61538461538461542</v>
      </c>
      <c r="M190" s="58">
        <f t="shared" si="66"/>
        <v>1.2632434108527131</v>
      </c>
      <c r="N190" s="58">
        <f t="shared" si="78"/>
        <v>9.3804086538462374E-3</v>
      </c>
      <c r="O190" s="58">
        <f t="shared" si="74"/>
        <v>4.7299999999999995</v>
      </c>
      <c r="P190" s="58">
        <f>(A190-B190)*(Equations!$G$69*$Q$121+C190)</f>
        <v>5.8215384615384611</v>
      </c>
      <c r="Q190" s="58">
        <f>(A190-B190)*(Equations!$G$69*$R$121+C190)</f>
        <v>3.638461538461538</v>
      </c>
    </row>
    <row r="191" spans="1:17">
      <c r="A191" s="58">
        <f t="shared" si="63"/>
        <v>22</v>
      </c>
      <c r="B191" s="61">
        <f t="shared" si="77"/>
        <v>13.115384615384615</v>
      </c>
      <c r="C191" s="59">
        <f t="shared" si="67"/>
        <v>0.2</v>
      </c>
      <c r="D191" s="64">
        <f>B121</f>
        <v>72.582399999999993</v>
      </c>
      <c r="E191" s="57">
        <f t="shared" si="68"/>
        <v>8.1694476190476184</v>
      </c>
      <c r="F191" s="59">
        <f>Equations!$G$69+C191</f>
        <v>0.52</v>
      </c>
      <c r="G191" s="57">
        <f t="shared" si="69"/>
        <v>0.52</v>
      </c>
      <c r="H191" s="59">
        <f t="shared" si="65"/>
        <v>0.32</v>
      </c>
      <c r="I191" s="60">
        <f t="shared" si="70"/>
        <v>1.9831730769230616E-3</v>
      </c>
      <c r="J191" s="60">
        <f t="shared" si="75"/>
        <v>0.12295673076923079</v>
      </c>
      <c r="K191" s="160">
        <f t="shared" si="71"/>
        <v>122.95673076923079</v>
      </c>
      <c r="L191" s="131">
        <f t="shared" si="72"/>
        <v>0.61538461538461542</v>
      </c>
      <c r="M191" s="58">
        <f t="shared" si="66"/>
        <v>1.2949079365079363</v>
      </c>
      <c r="N191" s="58">
        <f t="shared" si="78"/>
        <v>9.1622596153845444E-3</v>
      </c>
      <c r="O191" s="58">
        <f t="shared" si="74"/>
        <v>4.62</v>
      </c>
      <c r="P191" s="58">
        <f>(A191-B191)*(Equations!$G$69*$Q$121+C191)</f>
        <v>5.6861538461538466</v>
      </c>
      <c r="Q191" s="58">
        <f>(A191-B191)*(Equations!$G$69*$R$121+C191)</f>
        <v>3.5538461538461541</v>
      </c>
    </row>
    <row r="192" spans="1:17">
      <c r="A192" s="58">
        <f t="shared" si="63"/>
        <v>22</v>
      </c>
      <c r="B192" s="61">
        <f t="shared" si="77"/>
        <v>13.326923076923077</v>
      </c>
      <c r="C192" s="59">
        <f t="shared" si="67"/>
        <v>0.2</v>
      </c>
      <c r="D192" s="64">
        <f>B121</f>
        <v>72.582399999999993</v>
      </c>
      <c r="E192" s="57">
        <f t="shared" si="68"/>
        <v>8.3687024390243892</v>
      </c>
      <c r="F192" s="59">
        <f>Equations!$G$69+C192</f>
        <v>0.52</v>
      </c>
      <c r="G192" s="57">
        <f t="shared" si="69"/>
        <v>0.52</v>
      </c>
      <c r="H192" s="59">
        <f t="shared" si="65"/>
        <v>0.32</v>
      </c>
      <c r="I192" s="60">
        <f t="shared" si="70"/>
        <v>1.9831730769230781E-3</v>
      </c>
      <c r="J192" s="60">
        <f t="shared" si="75"/>
        <v>0.12493990384615387</v>
      </c>
      <c r="K192" s="160">
        <f t="shared" si="71"/>
        <v>124.93990384615387</v>
      </c>
      <c r="L192" s="131">
        <f t="shared" si="72"/>
        <v>0.61538461538461542</v>
      </c>
      <c r="M192" s="58">
        <f t="shared" si="66"/>
        <v>1.3281170731707315</v>
      </c>
      <c r="N192" s="58">
        <f t="shared" si="78"/>
        <v>8.9441105769230839E-3</v>
      </c>
      <c r="O192" s="58">
        <f t="shared" si="74"/>
        <v>4.5100000000000007</v>
      </c>
      <c r="P192" s="58">
        <f>(A192-B192)*(Equations!$G$69*$Q$121+C192)</f>
        <v>5.5507692307692311</v>
      </c>
      <c r="Q192" s="58">
        <f>(A192-B192)*(Equations!$G$69*$R$121+C192)</f>
        <v>3.4692307692307693</v>
      </c>
    </row>
    <row r="193" spans="1:17">
      <c r="A193" s="58">
        <f t="shared" ref="A193:A233" si="79">VINMAX</f>
        <v>22</v>
      </c>
      <c r="B193" s="61">
        <f t="shared" ref="B193:B224" si="80">VINMAX*((ROW()-129)/104)</f>
        <v>13.53846153846154</v>
      </c>
      <c r="C193" s="59">
        <f t="shared" si="67"/>
        <v>0.2</v>
      </c>
      <c r="D193" s="64">
        <f>B121</f>
        <v>72.582399999999993</v>
      </c>
      <c r="E193" s="57">
        <f t="shared" si="68"/>
        <v>8.5779200000000007</v>
      </c>
      <c r="F193" s="59">
        <f>Equations!$G$69+C193</f>
        <v>0.52</v>
      </c>
      <c r="G193" s="57">
        <f t="shared" si="69"/>
        <v>0.52</v>
      </c>
      <c r="H193" s="59">
        <f t="shared" ref="H193:H229" si="81">G193-C193</f>
        <v>0.32</v>
      </c>
      <c r="I193" s="60">
        <f t="shared" si="70"/>
        <v>1.983173076923095E-3</v>
      </c>
      <c r="J193" s="60">
        <f t="shared" si="75"/>
        <v>0.12692307692307697</v>
      </c>
      <c r="K193" s="160">
        <f t="shared" si="71"/>
        <v>126.92307692307698</v>
      </c>
      <c r="L193" s="131">
        <f t="shared" si="72"/>
        <v>0.61538461538461542</v>
      </c>
      <c r="M193" s="58">
        <f t="shared" ref="M193:M233" si="82">1/COUTMAX*(E193/2-C193)*1000</f>
        <v>1.3629866666666666</v>
      </c>
      <c r="N193" s="58">
        <f t="shared" si="78"/>
        <v>8.7259615384616164E-3</v>
      </c>
      <c r="O193" s="58">
        <f t="shared" si="74"/>
        <v>4.3999999999999995</v>
      </c>
      <c r="P193" s="58">
        <f>(A193-B193)*(Equations!$G$69*$Q$121+C193)</f>
        <v>5.4153846153846148</v>
      </c>
      <c r="Q193" s="58">
        <f>(A193-B193)*(Equations!$G$69*$R$121+C193)</f>
        <v>3.3846153846153841</v>
      </c>
    </row>
    <row r="194" spans="1:17">
      <c r="A194" s="58">
        <f t="shared" si="79"/>
        <v>22</v>
      </c>
      <c r="B194" s="61">
        <f t="shared" si="80"/>
        <v>13.75</v>
      </c>
      <c r="C194" s="59">
        <f t="shared" ref="C194:C233" si="83">IF(B194&gt;=$H$121,IF($D$121="CC", $G$121, B194/$G$121), 0)</f>
        <v>0.2</v>
      </c>
      <c r="D194" s="64">
        <f>B121</f>
        <v>72.582399999999993</v>
      </c>
      <c r="E194" s="57">
        <f t="shared" ref="E194:E229" si="84">MIN(D194/(A194-B194),$C$121)</f>
        <v>8.7978666666666658</v>
      </c>
      <c r="F194" s="59">
        <f>Equations!$G$69+C194</f>
        <v>0.52</v>
      </c>
      <c r="G194" s="57">
        <f t="shared" ref="G194:G233" si="85">IF($F$121="Soft Start", F194, E194)</f>
        <v>0.52</v>
      </c>
      <c r="H194" s="59">
        <f t="shared" si="81"/>
        <v>0.32</v>
      </c>
      <c r="I194" s="60">
        <f t="shared" ref="I194:I229" si="86">(COUTMAX/1000000)*(B194-B193)/H194</f>
        <v>1.9831730769230616E-3</v>
      </c>
      <c r="J194" s="60">
        <f t="shared" si="75"/>
        <v>0.12890625000000003</v>
      </c>
      <c r="K194" s="160">
        <f t="shared" ref="K194:K233" si="87">J194*1000</f>
        <v>128.90625000000003</v>
      </c>
      <c r="L194" s="131">
        <f t="shared" ref="L194:L229" si="88">H194/G194</f>
        <v>0.61538461538461542</v>
      </c>
      <c r="M194" s="58">
        <f t="shared" si="82"/>
        <v>1.3996444444444442</v>
      </c>
      <c r="N194" s="58">
        <f t="shared" si="78"/>
        <v>8.5078124999999338E-3</v>
      </c>
      <c r="O194" s="58">
        <f t="shared" ref="O194:O233" si="89">G194*(A194-B194)</f>
        <v>4.29</v>
      </c>
      <c r="P194" s="58">
        <f>(A194-B194)*(Equations!$G$69*$Q$121+C194)</f>
        <v>5.28</v>
      </c>
      <c r="Q194" s="58">
        <f>(A194-B194)*(Equations!$G$69*$R$121+C194)</f>
        <v>3.3000000000000003</v>
      </c>
    </row>
    <row r="195" spans="1:17">
      <c r="A195" s="58">
        <f t="shared" si="79"/>
        <v>22</v>
      </c>
      <c r="B195" s="61">
        <f t="shared" si="80"/>
        <v>13.96153846153846</v>
      </c>
      <c r="C195" s="59">
        <f t="shared" si="83"/>
        <v>0.2</v>
      </c>
      <c r="D195" s="64">
        <f>B121</f>
        <v>72.582399999999993</v>
      </c>
      <c r="E195" s="57">
        <f t="shared" si="84"/>
        <v>9.0293894736842084</v>
      </c>
      <c r="F195" s="59">
        <f>Equations!$G$69+C195</f>
        <v>0.52</v>
      </c>
      <c r="G195" s="57">
        <f t="shared" si="85"/>
        <v>0.52</v>
      </c>
      <c r="H195" s="59">
        <f t="shared" si="81"/>
        <v>0.32</v>
      </c>
      <c r="I195" s="60">
        <f t="shared" si="86"/>
        <v>1.9831730769230616E-3</v>
      </c>
      <c r="J195" s="60">
        <f t="shared" ref="J195:J229" si="90">J194+I195</f>
        <v>0.13088942307692308</v>
      </c>
      <c r="K195" s="160">
        <f t="shared" si="87"/>
        <v>130.88942307692309</v>
      </c>
      <c r="L195" s="131">
        <f t="shared" si="88"/>
        <v>0.61538461538461542</v>
      </c>
      <c r="M195" s="58">
        <f t="shared" si="82"/>
        <v>1.4382315789473681</v>
      </c>
      <c r="N195" s="58">
        <f t="shared" si="78"/>
        <v>8.2896634615383987E-3</v>
      </c>
      <c r="O195" s="58">
        <f t="shared" si="89"/>
        <v>4.1800000000000006</v>
      </c>
      <c r="P195" s="58">
        <f>(A195-B195)*(Equations!$G$69*$Q$121+C195)</f>
        <v>5.1446153846153857</v>
      </c>
      <c r="Q195" s="58">
        <f>(A195-B195)*(Equations!$G$69*$R$121+C195)</f>
        <v>3.2153846153846164</v>
      </c>
    </row>
    <row r="196" spans="1:17">
      <c r="A196" s="58">
        <f t="shared" si="79"/>
        <v>22</v>
      </c>
      <c r="B196" s="61">
        <f t="shared" si="80"/>
        <v>14.173076923076923</v>
      </c>
      <c r="C196" s="59">
        <f t="shared" si="83"/>
        <v>0.2</v>
      </c>
      <c r="D196" s="64">
        <f>B121</f>
        <v>72.582399999999993</v>
      </c>
      <c r="E196" s="57">
        <f t="shared" si="84"/>
        <v>9.2734270270270258</v>
      </c>
      <c r="F196" s="59">
        <f>Equations!$G$69+C196</f>
        <v>0.52</v>
      </c>
      <c r="G196" s="57">
        <f t="shared" si="85"/>
        <v>0.52</v>
      </c>
      <c r="H196" s="59">
        <f t="shared" si="81"/>
        <v>0.32</v>
      </c>
      <c r="I196" s="60">
        <f t="shared" si="86"/>
        <v>1.983173076923095E-3</v>
      </c>
      <c r="J196" s="60">
        <f t="shared" si="90"/>
        <v>0.13287259615384617</v>
      </c>
      <c r="K196" s="160">
        <f t="shared" si="87"/>
        <v>132.87259615384616</v>
      </c>
      <c r="L196" s="131">
        <f t="shared" si="88"/>
        <v>0.61538461538461542</v>
      </c>
      <c r="M196" s="58">
        <f t="shared" si="82"/>
        <v>1.4789045045045042</v>
      </c>
      <c r="N196" s="58">
        <f t="shared" si="78"/>
        <v>8.0715144230769954E-3</v>
      </c>
      <c r="O196" s="58">
        <f t="shared" si="89"/>
        <v>4.07</v>
      </c>
      <c r="P196" s="58">
        <f>(A196-B196)*(Equations!$G$69*$Q$121+C196)</f>
        <v>5.0092307692307694</v>
      </c>
      <c r="Q196" s="58">
        <f>(A196-B196)*(Equations!$G$69*$R$121+C196)</f>
        <v>3.1307692307692307</v>
      </c>
    </row>
    <row r="197" spans="1:17">
      <c r="A197" s="58">
        <f t="shared" si="79"/>
        <v>22</v>
      </c>
      <c r="B197" s="61">
        <f t="shared" si="80"/>
        <v>14.384615384615385</v>
      </c>
      <c r="C197" s="59">
        <f t="shared" si="83"/>
        <v>0.2</v>
      </c>
      <c r="D197" s="64">
        <f>B121</f>
        <v>72.582399999999993</v>
      </c>
      <c r="E197" s="57">
        <f t="shared" si="84"/>
        <v>9.5310222222222212</v>
      </c>
      <c r="F197" s="59">
        <f>Equations!$G$69+C197</f>
        <v>0.52</v>
      </c>
      <c r="G197" s="57">
        <f t="shared" si="85"/>
        <v>0.52</v>
      </c>
      <c r="H197" s="59">
        <f t="shared" si="81"/>
        <v>0.32</v>
      </c>
      <c r="I197" s="60">
        <f t="shared" si="86"/>
        <v>1.9831730769230781E-3</v>
      </c>
      <c r="J197" s="60">
        <f t="shared" si="90"/>
        <v>0.13485576923076925</v>
      </c>
      <c r="K197" s="160">
        <f t="shared" si="87"/>
        <v>134.85576923076925</v>
      </c>
      <c r="L197" s="131">
        <f t="shared" si="88"/>
        <v>0.61538461538461542</v>
      </c>
      <c r="M197" s="58">
        <f t="shared" si="82"/>
        <v>1.5218370370370367</v>
      </c>
      <c r="N197" s="58">
        <f t="shared" si="78"/>
        <v>7.8533653846153892E-3</v>
      </c>
      <c r="O197" s="58">
        <f t="shared" si="89"/>
        <v>3.96</v>
      </c>
      <c r="P197" s="58">
        <f>(A197-B197)*(Equations!$G$69*$Q$121+C197)</f>
        <v>4.8738461538461539</v>
      </c>
      <c r="Q197" s="58">
        <f>(A197-B197)*(Equations!$G$69*$R$121+C197)</f>
        <v>3.046153846153846</v>
      </c>
    </row>
    <row r="198" spans="1:17">
      <c r="A198" s="58">
        <f t="shared" si="79"/>
        <v>22</v>
      </c>
      <c r="B198" s="61">
        <f t="shared" si="80"/>
        <v>14.596153846153845</v>
      </c>
      <c r="C198" s="59">
        <f t="shared" si="83"/>
        <v>0.2</v>
      </c>
      <c r="D198" s="64">
        <f>B121</f>
        <v>72.582399999999993</v>
      </c>
      <c r="E198" s="57">
        <f t="shared" si="84"/>
        <v>9.8033371428571403</v>
      </c>
      <c r="F198" s="59">
        <f>Equations!$G$69+C198</f>
        <v>0.52</v>
      </c>
      <c r="G198" s="57">
        <f t="shared" si="85"/>
        <v>0.52</v>
      </c>
      <c r="H198" s="59">
        <f t="shared" si="81"/>
        <v>0.32</v>
      </c>
      <c r="I198" s="60">
        <f t="shared" si="86"/>
        <v>1.9831730769230616E-3</v>
      </c>
      <c r="J198" s="60">
        <f t="shared" si="90"/>
        <v>0.13683894230769231</v>
      </c>
      <c r="K198" s="160">
        <f t="shared" si="87"/>
        <v>136.83894230769232</v>
      </c>
      <c r="L198" s="131">
        <f t="shared" si="88"/>
        <v>0.61538461538461542</v>
      </c>
      <c r="M198" s="58">
        <f t="shared" si="82"/>
        <v>1.5672228571428566</v>
      </c>
      <c r="N198" s="58">
        <f t="shared" si="78"/>
        <v>7.6352163461537882E-3</v>
      </c>
      <c r="O198" s="58">
        <f t="shared" si="89"/>
        <v>3.850000000000001</v>
      </c>
      <c r="P198" s="58">
        <f>(A198-B198)*(Equations!$G$69*$Q$121+C198)</f>
        <v>4.7384615384615394</v>
      </c>
      <c r="Q198" s="58">
        <f>(A198-B198)*(Equations!$G$69*$R$121+C198)</f>
        <v>2.9615384615384621</v>
      </c>
    </row>
    <row r="199" spans="1:17">
      <c r="A199" s="58">
        <f t="shared" si="79"/>
        <v>22</v>
      </c>
      <c r="B199" s="61">
        <f t="shared" si="80"/>
        <v>14.807692307692308</v>
      </c>
      <c r="C199" s="59">
        <f t="shared" si="83"/>
        <v>0.2</v>
      </c>
      <c r="D199" s="64">
        <f>B121</f>
        <v>72.582399999999993</v>
      </c>
      <c r="E199" s="57">
        <f t="shared" si="84"/>
        <v>10.091670588235294</v>
      </c>
      <c r="F199" s="59">
        <f>Equations!$G$69+C199</f>
        <v>0.52</v>
      </c>
      <c r="G199" s="57">
        <f t="shared" si="85"/>
        <v>0.52</v>
      </c>
      <c r="H199" s="59">
        <f t="shared" si="81"/>
        <v>0.32</v>
      </c>
      <c r="I199" s="60">
        <f t="shared" si="86"/>
        <v>1.983173076923095E-3</v>
      </c>
      <c r="J199" s="60">
        <f t="shared" si="90"/>
        <v>0.13882211538461539</v>
      </c>
      <c r="K199" s="160">
        <f t="shared" si="87"/>
        <v>138.82211538461539</v>
      </c>
      <c r="L199" s="131">
        <f t="shared" si="88"/>
        <v>0.61538461538461542</v>
      </c>
      <c r="M199" s="58">
        <f t="shared" si="82"/>
        <v>1.615278431372549</v>
      </c>
      <c r="N199" s="58">
        <f t="shared" si="78"/>
        <v>7.4170673076923745E-3</v>
      </c>
      <c r="O199" s="58">
        <f t="shared" si="89"/>
        <v>3.7399999999999998</v>
      </c>
      <c r="P199" s="58">
        <f>(A199-B199)*(Equations!$G$69*$Q$121+C199)</f>
        <v>4.6030769230769231</v>
      </c>
      <c r="Q199" s="58">
        <f>(A199-B199)*(Equations!$G$69*$R$121+C199)</f>
        <v>2.8769230769230769</v>
      </c>
    </row>
    <row r="200" spans="1:17">
      <c r="A200" s="58">
        <f t="shared" si="79"/>
        <v>22</v>
      </c>
      <c r="B200" s="61">
        <f t="shared" si="80"/>
        <v>15.01923076923077</v>
      </c>
      <c r="C200" s="59">
        <f t="shared" si="83"/>
        <v>0.2</v>
      </c>
      <c r="D200" s="64">
        <f>B121</f>
        <v>72.582399999999993</v>
      </c>
      <c r="E200" s="57">
        <f t="shared" si="84"/>
        <v>10.397478787878788</v>
      </c>
      <c r="F200" s="59">
        <f>Equations!$G$69+C200</f>
        <v>0.52</v>
      </c>
      <c r="G200" s="57">
        <f t="shared" si="85"/>
        <v>0.52</v>
      </c>
      <c r="H200" s="59">
        <f t="shared" si="81"/>
        <v>0.32</v>
      </c>
      <c r="I200" s="60">
        <f t="shared" si="86"/>
        <v>1.9831730769230781E-3</v>
      </c>
      <c r="J200" s="60">
        <f t="shared" si="90"/>
        <v>0.14080528846153847</v>
      </c>
      <c r="K200" s="160">
        <f t="shared" si="87"/>
        <v>140.80528846153848</v>
      </c>
      <c r="L200" s="131">
        <f t="shared" si="88"/>
        <v>0.61538461538461542</v>
      </c>
      <c r="M200" s="58">
        <f t="shared" si="82"/>
        <v>1.6662464646464645</v>
      </c>
      <c r="N200" s="58">
        <f t="shared" si="78"/>
        <v>7.1989182692307734E-3</v>
      </c>
      <c r="O200" s="58">
        <f t="shared" si="89"/>
        <v>3.63</v>
      </c>
      <c r="P200" s="58">
        <f>(A200-B200)*(Equations!$G$69*$Q$121+C200)</f>
        <v>4.4676923076923076</v>
      </c>
      <c r="Q200" s="58">
        <f>(A200-B200)*(Equations!$G$69*$R$121+C200)</f>
        <v>2.7923076923076922</v>
      </c>
    </row>
    <row r="201" spans="1:17">
      <c r="A201" s="58">
        <f t="shared" si="79"/>
        <v>22</v>
      </c>
      <c r="B201" s="61">
        <f t="shared" si="80"/>
        <v>15.23076923076923</v>
      </c>
      <c r="C201" s="59">
        <f t="shared" si="83"/>
        <v>0.2</v>
      </c>
      <c r="D201" s="64">
        <f>B121</f>
        <v>72.582399999999993</v>
      </c>
      <c r="E201" s="57">
        <f t="shared" si="84"/>
        <v>10.722399999999997</v>
      </c>
      <c r="F201" s="59">
        <f>Equations!$G$69+C201</f>
        <v>0.52</v>
      </c>
      <c r="G201" s="57">
        <f t="shared" si="85"/>
        <v>0.52</v>
      </c>
      <c r="H201" s="59">
        <f t="shared" si="81"/>
        <v>0.32</v>
      </c>
      <c r="I201" s="60">
        <f t="shared" si="86"/>
        <v>1.9831730769230616E-3</v>
      </c>
      <c r="J201" s="60">
        <f t="shared" si="90"/>
        <v>0.14278846153846153</v>
      </c>
      <c r="K201" s="160">
        <f t="shared" si="87"/>
        <v>142.78846153846152</v>
      </c>
      <c r="L201" s="131">
        <f t="shared" si="88"/>
        <v>0.61538461538461542</v>
      </c>
      <c r="M201" s="58">
        <f t="shared" si="82"/>
        <v>1.7203999999999993</v>
      </c>
      <c r="N201" s="58">
        <f t="shared" si="78"/>
        <v>6.9807692307691776E-3</v>
      </c>
      <c r="O201" s="58">
        <f t="shared" si="89"/>
        <v>3.5200000000000005</v>
      </c>
      <c r="P201" s="58">
        <f>(A201-B201)*(Equations!$G$69*$Q$121+C201)</f>
        <v>4.3323076923076931</v>
      </c>
      <c r="Q201" s="58">
        <f>(A201-B201)*(Equations!$G$69*$R$121+C201)</f>
        <v>2.7076923076923083</v>
      </c>
    </row>
    <row r="202" spans="1:17">
      <c r="A202" s="58">
        <f t="shared" si="79"/>
        <v>22</v>
      </c>
      <c r="B202" s="61">
        <f t="shared" si="80"/>
        <v>15.442307692307692</v>
      </c>
      <c r="C202" s="59">
        <f t="shared" si="83"/>
        <v>0.2</v>
      </c>
      <c r="D202" s="64">
        <f>B121</f>
        <v>72.582399999999993</v>
      </c>
      <c r="E202" s="57">
        <f t="shared" si="84"/>
        <v>11.06828387096774</v>
      </c>
      <c r="F202" s="59">
        <f>Equations!$G$69+C202</f>
        <v>0.52</v>
      </c>
      <c r="G202" s="57">
        <f t="shared" si="85"/>
        <v>0.52</v>
      </c>
      <c r="H202" s="59">
        <f t="shared" si="81"/>
        <v>0.32</v>
      </c>
      <c r="I202" s="60">
        <f t="shared" si="86"/>
        <v>1.9831730769230781E-3</v>
      </c>
      <c r="J202" s="60">
        <f t="shared" si="90"/>
        <v>0.14477163461538461</v>
      </c>
      <c r="K202" s="160">
        <f t="shared" si="87"/>
        <v>144.77163461538461</v>
      </c>
      <c r="L202" s="131">
        <f t="shared" si="88"/>
        <v>0.61538461538461542</v>
      </c>
      <c r="M202" s="58">
        <f t="shared" si="82"/>
        <v>1.7780473118279565</v>
      </c>
      <c r="N202" s="58">
        <f t="shared" si="78"/>
        <v>6.762620192307698E-3</v>
      </c>
      <c r="O202" s="58">
        <f t="shared" si="89"/>
        <v>3.4100000000000006</v>
      </c>
      <c r="P202" s="58">
        <f>(A202-B202)*(Equations!$G$69*$Q$121+C202)</f>
        <v>4.1969230769230776</v>
      </c>
      <c r="Q202" s="58">
        <f>(A202-B202)*(Equations!$G$69*$R$121+C202)</f>
        <v>2.6230769230769235</v>
      </c>
    </row>
    <row r="203" spans="1:17">
      <c r="A203" s="58">
        <f t="shared" si="79"/>
        <v>22</v>
      </c>
      <c r="B203" s="61">
        <f t="shared" si="80"/>
        <v>15.653846153846155</v>
      </c>
      <c r="C203" s="59">
        <f t="shared" si="83"/>
        <v>0.2</v>
      </c>
      <c r="D203" s="64">
        <f>B121</f>
        <v>72.582399999999993</v>
      </c>
      <c r="E203" s="57">
        <f t="shared" si="84"/>
        <v>11.437226666666668</v>
      </c>
      <c r="F203" s="59">
        <f>Equations!$G$69+C203</f>
        <v>0.52</v>
      </c>
      <c r="G203" s="57">
        <f t="shared" si="85"/>
        <v>0.52</v>
      </c>
      <c r="H203" s="59">
        <f t="shared" si="81"/>
        <v>0.32</v>
      </c>
      <c r="I203" s="60">
        <f t="shared" si="86"/>
        <v>1.983173076923095E-3</v>
      </c>
      <c r="J203" s="60">
        <f t="shared" si="90"/>
        <v>0.1467548076923077</v>
      </c>
      <c r="K203" s="160">
        <f t="shared" si="87"/>
        <v>146.75480769230771</v>
      </c>
      <c r="L203" s="131">
        <f t="shared" si="88"/>
        <v>0.61538461538461542</v>
      </c>
      <c r="M203" s="58">
        <f t="shared" si="82"/>
        <v>1.8395377777777777</v>
      </c>
      <c r="N203" s="58">
        <f t="shared" si="78"/>
        <v>6.5444711538462123E-3</v>
      </c>
      <c r="O203" s="58">
        <f t="shared" si="89"/>
        <v>3.2999999999999994</v>
      </c>
      <c r="P203" s="58">
        <f>(A203-B203)*(Equations!$G$69*$Q$121+C203)</f>
        <v>4.0615384615384604</v>
      </c>
      <c r="Q203" s="58">
        <f>(A203-B203)*(Equations!$G$69*$R$121+C203)</f>
        <v>2.5384615384615383</v>
      </c>
    </row>
    <row r="204" spans="1:17">
      <c r="A204" s="58">
        <f t="shared" si="79"/>
        <v>22</v>
      </c>
      <c r="B204" s="61">
        <f t="shared" si="80"/>
        <v>15.865384615384615</v>
      </c>
      <c r="C204" s="59">
        <f t="shared" si="83"/>
        <v>0.2</v>
      </c>
      <c r="D204" s="64">
        <f>B121</f>
        <v>72.582399999999993</v>
      </c>
      <c r="E204" s="57">
        <f t="shared" si="84"/>
        <v>11.831613793103447</v>
      </c>
      <c r="F204" s="59">
        <f>Equations!$G$69+C204</f>
        <v>0.52</v>
      </c>
      <c r="G204" s="57">
        <f t="shared" si="85"/>
        <v>0.52</v>
      </c>
      <c r="H204" s="59">
        <f t="shared" si="81"/>
        <v>0.32</v>
      </c>
      <c r="I204" s="60">
        <f t="shared" si="86"/>
        <v>1.9831730769230616E-3</v>
      </c>
      <c r="J204" s="60">
        <f t="shared" si="90"/>
        <v>0.14873798076923075</v>
      </c>
      <c r="K204" s="160">
        <f t="shared" si="87"/>
        <v>148.73798076923075</v>
      </c>
      <c r="L204" s="131">
        <f t="shared" si="88"/>
        <v>0.61538461538461542</v>
      </c>
      <c r="M204" s="58">
        <f t="shared" si="82"/>
        <v>1.905268965517241</v>
      </c>
      <c r="N204" s="58">
        <f t="shared" si="78"/>
        <v>6.326322115384567E-3</v>
      </c>
      <c r="O204" s="58">
        <f t="shared" si="89"/>
        <v>3.1900000000000004</v>
      </c>
      <c r="P204" s="58">
        <f>(A204-B204)*(Equations!$G$69*$Q$121+C204)</f>
        <v>3.9261538461538463</v>
      </c>
      <c r="Q204" s="58">
        <f>(A204-B204)*(Equations!$G$69*$R$121+C204)</f>
        <v>2.453846153846154</v>
      </c>
    </row>
    <row r="205" spans="1:17">
      <c r="A205" s="58">
        <f t="shared" si="79"/>
        <v>22</v>
      </c>
      <c r="B205" s="61">
        <f t="shared" si="80"/>
        <v>16.076923076923077</v>
      </c>
      <c r="C205" s="59">
        <f t="shared" si="83"/>
        <v>0.2</v>
      </c>
      <c r="D205" s="64">
        <f>B121</f>
        <v>72.582399999999993</v>
      </c>
      <c r="E205" s="57">
        <f t="shared" si="84"/>
        <v>12.254171428571427</v>
      </c>
      <c r="F205" s="59">
        <f>Equations!$G$69+C205</f>
        <v>0.52</v>
      </c>
      <c r="G205" s="57">
        <f t="shared" si="85"/>
        <v>0.52</v>
      </c>
      <c r="H205" s="59">
        <f t="shared" si="81"/>
        <v>0.32</v>
      </c>
      <c r="I205" s="60">
        <f t="shared" si="86"/>
        <v>1.9831730769230781E-3</v>
      </c>
      <c r="J205" s="60">
        <f t="shared" si="90"/>
        <v>0.15072115384615384</v>
      </c>
      <c r="K205" s="160">
        <f t="shared" si="87"/>
        <v>150.72115384615384</v>
      </c>
      <c r="L205" s="131">
        <f t="shared" si="88"/>
        <v>0.61538461538461542</v>
      </c>
      <c r="M205" s="58">
        <f t="shared" si="82"/>
        <v>1.9756952380952375</v>
      </c>
      <c r="N205" s="58">
        <f t="shared" si="78"/>
        <v>6.1081730769230813E-3</v>
      </c>
      <c r="O205" s="58">
        <f t="shared" si="89"/>
        <v>3.08</v>
      </c>
      <c r="P205" s="58">
        <f>(A205-B205)*(Equations!$G$69*$Q$121+C205)</f>
        <v>3.7907692307692309</v>
      </c>
      <c r="Q205" s="58">
        <f>(A205-B205)*(Equations!$G$69*$R$121+C205)</f>
        <v>2.3692307692307693</v>
      </c>
    </row>
    <row r="206" spans="1:17">
      <c r="A206" s="58">
        <f t="shared" si="79"/>
        <v>22</v>
      </c>
      <c r="B206" s="61">
        <f t="shared" si="80"/>
        <v>16.28846153846154</v>
      </c>
      <c r="C206" s="59">
        <f t="shared" si="83"/>
        <v>0.2</v>
      </c>
      <c r="D206" s="64">
        <f>B121</f>
        <v>72.582399999999993</v>
      </c>
      <c r="E206" s="57">
        <f t="shared" si="84"/>
        <v>12.708029629629632</v>
      </c>
      <c r="F206" s="59">
        <f>Equations!$G$69+C206</f>
        <v>0.52</v>
      </c>
      <c r="G206" s="57">
        <f t="shared" si="85"/>
        <v>0.52</v>
      </c>
      <c r="H206" s="59">
        <f t="shared" si="81"/>
        <v>0.32</v>
      </c>
      <c r="I206" s="60">
        <f t="shared" si="86"/>
        <v>1.983173076923095E-3</v>
      </c>
      <c r="J206" s="60">
        <f t="shared" si="90"/>
        <v>0.15270432692307692</v>
      </c>
      <c r="K206" s="160">
        <f t="shared" si="87"/>
        <v>152.70432692307693</v>
      </c>
      <c r="L206" s="131">
        <f t="shared" si="88"/>
        <v>0.61538461538461542</v>
      </c>
      <c r="M206" s="58">
        <f t="shared" si="82"/>
        <v>2.0513382716049384</v>
      </c>
      <c r="N206" s="58">
        <f t="shared" si="78"/>
        <v>5.8900240384615905E-3</v>
      </c>
      <c r="O206" s="58">
        <f t="shared" si="89"/>
        <v>2.9699999999999993</v>
      </c>
      <c r="P206" s="58">
        <f>(A206-B206)*(Equations!$G$69*$Q$121+C206)</f>
        <v>3.6553846153846146</v>
      </c>
      <c r="Q206" s="58">
        <f>(A206-B206)*(Equations!$G$69*$R$121+C206)</f>
        <v>2.284615384615384</v>
      </c>
    </row>
    <row r="207" spans="1:17">
      <c r="A207" s="58">
        <f t="shared" si="79"/>
        <v>22</v>
      </c>
      <c r="B207" s="61">
        <f t="shared" si="80"/>
        <v>16.5</v>
      </c>
      <c r="C207" s="59">
        <f t="shared" si="83"/>
        <v>0.2</v>
      </c>
      <c r="D207" s="64">
        <f>B121</f>
        <v>72.582399999999993</v>
      </c>
      <c r="E207" s="57">
        <f t="shared" si="84"/>
        <v>13.196799999999998</v>
      </c>
      <c r="F207" s="59">
        <f>Equations!$G$69+C207</f>
        <v>0.52</v>
      </c>
      <c r="G207" s="57">
        <f t="shared" si="85"/>
        <v>0.52</v>
      </c>
      <c r="H207" s="59">
        <f t="shared" si="81"/>
        <v>0.32</v>
      </c>
      <c r="I207" s="60">
        <f t="shared" si="86"/>
        <v>1.9831730769230616E-3</v>
      </c>
      <c r="J207" s="60">
        <f t="shared" si="90"/>
        <v>0.15468749999999998</v>
      </c>
      <c r="K207" s="160">
        <f t="shared" si="87"/>
        <v>154.68749999999997</v>
      </c>
      <c r="L207" s="131">
        <f t="shared" si="88"/>
        <v>0.61538461538461542</v>
      </c>
      <c r="M207" s="58">
        <f t="shared" si="82"/>
        <v>2.1327999999999996</v>
      </c>
      <c r="N207" s="58">
        <f t="shared" si="78"/>
        <v>5.6718749999999565E-3</v>
      </c>
      <c r="O207" s="58">
        <f t="shared" si="89"/>
        <v>2.8600000000000003</v>
      </c>
      <c r="P207" s="58">
        <f>(A207-B207)*(Equations!$G$69*$Q$121+C207)</f>
        <v>3.52</v>
      </c>
      <c r="Q207" s="58">
        <f>(A207-B207)*(Equations!$G$69*$R$121+C207)</f>
        <v>2.2000000000000002</v>
      </c>
    </row>
    <row r="208" spans="1:17">
      <c r="A208" s="58">
        <f t="shared" si="79"/>
        <v>22</v>
      </c>
      <c r="B208" s="61">
        <f t="shared" si="80"/>
        <v>16.71153846153846</v>
      </c>
      <c r="C208" s="59">
        <f t="shared" si="83"/>
        <v>0.2</v>
      </c>
      <c r="D208" s="64">
        <f>B121</f>
        <v>72.582399999999993</v>
      </c>
      <c r="E208" s="57">
        <f t="shared" si="84"/>
        <v>13.724671999999995</v>
      </c>
      <c r="F208" s="59">
        <f>Equations!$G$69+C208</f>
        <v>0.52</v>
      </c>
      <c r="G208" s="57">
        <f t="shared" si="85"/>
        <v>0.52</v>
      </c>
      <c r="H208" s="59">
        <f t="shared" si="81"/>
        <v>0.32</v>
      </c>
      <c r="I208" s="60">
        <f t="shared" si="86"/>
        <v>1.9831730769230616E-3</v>
      </c>
      <c r="J208" s="60">
        <f t="shared" si="90"/>
        <v>0.15667067307692303</v>
      </c>
      <c r="K208" s="160">
        <f t="shared" si="87"/>
        <v>156.67067307692304</v>
      </c>
      <c r="L208" s="131">
        <f t="shared" si="88"/>
        <v>0.61538461538461542</v>
      </c>
      <c r="M208" s="58">
        <f t="shared" si="82"/>
        <v>2.2207786666666656</v>
      </c>
      <c r="N208" s="58">
        <f t="shared" si="78"/>
        <v>5.4537259615384213E-3</v>
      </c>
      <c r="O208" s="58">
        <f t="shared" si="89"/>
        <v>2.7500000000000009</v>
      </c>
      <c r="P208" s="58">
        <f>(A208-B208)*(Equations!$G$69*$Q$121+C208)</f>
        <v>3.3846153846153859</v>
      </c>
      <c r="Q208" s="58">
        <f>(A208-B208)*(Equations!$G$69*$R$121+C208)</f>
        <v>2.1153846153846163</v>
      </c>
    </row>
    <row r="209" spans="1:17">
      <c r="A209" s="58">
        <f t="shared" si="79"/>
        <v>22</v>
      </c>
      <c r="B209" s="61">
        <f t="shared" si="80"/>
        <v>16.923076923076923</v>
      </c>
      <c r="C209" s="59">
        <f t="shared" si="83"/>
        <v>0.2</v>
      </c>
      <c r="D209" s="64">
        <f>B121</f>
        <v>72.582399999999993</v>
      </c>
      <c r="E209" s="57">
        <f t="shared" si="84"/>
        <v>14.296533333333333</v>
      </c>
      <c r="F209" s="59">
        <f>Equations!$G$69+C209</f>
        <v>0.52</v>
      </c>
      <c r="G209" s="57">
        <f t="shared" si="85"/>
        <v>0.52</v>
      </c>
      <c r="H209" s="59">
        <f t="shared" si="81"/>
        <v>0.32</v>
      </c>
      <c r="I209" s="60">
        <f t="shared" si="86"/>
        <v>1.983173076923095E-3</v>
      </c>
      <c r="J209" s="60">
        <f t="shared" si="90"/>
        <v>0.15865384615384612</v>
      </c>
      <c r="K209" s="160">
        <f t="shared" si="87"/>
        <v>158.6538461538461</v>
      </c>
      <c r="L209" s="131">
        <f t="shared" si="88"/>
        <v>0.61538461538461542</v>
      </c>
      <c r="M209" s="58">
        <f t="shared" si="82"/>
        <v>2.3160888888888889</v>
      </c>
      <c r="N209" s="58">
        <f t="shared" si="78"/>
        <v>5.2355769230769704E-3</v>
      </c>
      <c r="O209" s="58">
        <f t="shared" si="89"/>
        <v>2.64</v>
      </c>
      <c r="P209" s="58">
        <f>(A209-B209)*(Equations!$G$69*$Q$121+C209)</f>
        <v>3.2492307692307691</v>
      </c>
      <c r="Q209" s="58">
        <f>(A209-B209)*(Equations!$G$69*$R$121+C209)</f>
        <v>2.0307692307692307</v>
      </c>
    </row>
    <row r="210" spans="1:17">
      <c r="A210" s="58">
        <f t="shared" si="79"/>
        <v>22</v>
      </c>
      <c r="B210" s="61">
        <f t="shared" si="80"/>
        <v>17.134615384615383</v>
      </c>
      <c r="C210" s="59">
        <f t="shared" si="83"/>
        <v>0.2</v>
      </c>
      <c r="D210" s="64">
        <f>B121</f>
        <v>72.582399999999993</v>
      </c>
      <c r="E210" s="57">
        <f t="shared" si="84"/>
        <v>14.918121739130429</v>
      </c>
      <c r="F210" s="59">
        <f>Equations!$G$69+C210</f>
        <v>0.52</v>
      </c>
      <c r="G210" s="57">
        <f t="shared" si="85"/>
        <v>0.52</v>
      </c>
      <c r="H210" s="59">
        <f t="shared" si="81"/>
        <v>0.32</v>
      </c>
      <c r="I210" s="60">
        <f t="shared" si="86"/>
        <v>1.9831730769230616E-3</v>
      </c>
      <c r="J210" s="60">
        <f t="shared" si="90"/>
        <v>0.16063701923076917</v>
      </c>
      <c r="K210" s="160">
        <f t="shared" si="87"/>
        <v>160.63701923076917</v>
      </c>
      <c r="L210" s="131">
        <f t="shared" si="88"/>
        <v>0.61538461538461542</v>
      </c>
      <c r="M210" s="58">
        <f t="shared" si="82"/>
        <v>2.4196869565217378</v>
      </c>
      <c r="N210" s="58">
        <f t="shared" si="78"/>
        <v>5.0174278846153476E-3</v>
      </c>
      <c r="O210" s="58">
        <f t="shared" si="89"/>
        <v>2.5300000000000007</v>
      </c>
      <c r="P210" s="58">
        <f>(A210-B210)*(Equations!$G$69*$Q$121+C210)</f>
        <v>3.1138461538461546</v>
      </c>
      <c r="Q210" s="58">
        <f>(A210-B210)*(Equations!$G$69*$R$121+C210)</f>
        <v>1.9461538461538468</v>
      </c>
    </row>
    <row r="211" spans="1:17">
      <c r="A211" s="58">
        <f t="shared" si="79"/>
        <v>22</v>
      </c>
      <c r="B211" s="61">
        <f t="shared" si="80"/>
        <v>17.346153846153847</v>
      </c>
      <c r="C211" s="59">
        <f t="shared" si="83"/>
        <v>0.2</v>
      </c>
      <c r="D211" s="64">
        <f>B121</f>
        <v>72.582399999999993</v>
      </c>
      <c r="E211" s="57">
        <f t="shared" si="84"/>
        <v>15.596218181818182</v>
      </c>
      <c r="F211" s="59">
        <f>Equations!$G$69+C211</f>
        <v>0.52</v>
      </c>
      <c r="G211" s="57">
        <f t="shared" si="85"/>
        <v>0.52</v>
      </c>
      <c r="H211" s="59">
        <f t="shared" si="81"/>
        <v>0.32</v>
      </c>
      <c r="I211" s="60">
        <f t="shared" si="86"/>
        <v>1.983173076923095E-3</v>
      </c>
      <c r="J211" s="60">
        <f t="shared" si="90"/>
        <v>0.16262019230769226</v>
      </c>
      <c r="K211" s="160">
        <f t="shared" si="87"/>
        <v>162.62019230769226</v>
      </c>
      <c r="L211" s="131">
        <f t="shared" si="88"/>
        <v>0.61538461538461542</v>
      </c>
      <c r="M211" s="58">
        <f t="shared" si="82"/>
        <v>2.5327030303030305</v>
      </c>
      <c r="N211" s="58">
        <f t="shared" si="78"/>
        <v>4.7992788461538888E-3</v>
      </c>
      <c r="O211" s="58">
        <f t="shared" si="89"/>
        <v>2.42</v>
      </c>
      <c r="P211" s="58">
        <f>(A211-B211)*(Equations!$G$69*$Q$121+C211)</f>
        <v>2.9784615384615383</v>
      </c>
      <c r="Q211" s="58">
        <f>(A211-B211)*(Equations!$G$69*$R$121+C211)</f>
        <v>1.8615384615384614</v>
      </c>
    </row>
    <row r="212" spans="1:17">
      <c r="A212" s="58">
        <f t="shared" si="79"/>
        <v>22</v>
      </c>
      <c r="B212" s="61">
        <f t="shared" si="80"/>
        <v>17.55769230769231</v>
      </c>
      <c r="C212" s="59">
        <f t="shared" si="83"/>
        <v>0.2</v>
      </c>
      <c r="D212" s="64">
        <f>B121</f>
        <v>72.582399999999993</v>
      </c>
      <c r="E212" s="57">
        <f t="shared" si="84"/>
        <v>16.338895238095244</v>
      </c>
      <c r="F212" s="59">
        <f>Equations!$G$69+C212</f>
        <v>0.52</v>
      </c>
      <c r="G212" s="57">
        <f t="shared" si="85"/>
        <v>0.52</v>
      </c>
      <c r="H212" s="59">
        <f t="shared" si="81"/>
        <v>0.32</v>
      </c>
      <c r="I212" s="60">
        <f t="shared" si="86"/>
        <v>1.983173076923095E-3</v>
      </c>
      <c r="J212" s="60">
        <f t="shared" si="90"/>
        <v>0.16460336538461534</v>
      </c>
      <c r="K212" s="160">
        <f t="shared" si="87"/>
        <v>164.60336538461533</v>
      </c>
      <c r="L212" s="131">
        <f t="shared" si="88"/>
        <v>0.61538461538461542</v>
      </c>
      <c r="M212" s="58">
        <f t="shared" si="82"/>
        <v>2.6564825396825404</v>
      </c>
      <c r="N212" s="58">
        <f t="shared" si="78"/>
        <v>4.5811298076923468E-3</v>
      </c>
      <c r="O212" s="58">
        <f t="shared" si="89"/>
        <v>2.3099999999999987</v>
      </c>
      <c r="P212" s="58">
        <f>(A212-B212)*(Equations!$G$69*$Q$121+C212)</f>
        <v>2.8430769230769215</v>
      </c>
      <c r="Q212" s="58">
        <f>(A212-B212)*(Equations!$G$69*$R$121+C212)</f>
        <v>1.7769230769230759</v>
      </c>
    </row>
    <row r="213" spans="1:17">
      <c r="A213" s="58">
        <f t="shared" si="79"/>
        <v>22</v>
      </c>
      <c r="B213" s="61">
        <f t="shared" si="80"/>
        <v>17.76923076923077</v>
      </c>
      <c r="C213" s="59">
        <f t="shared" si="83"/>
        <v>0.2</v>
      </c>
      <c r="D213" s="64">
        <f>B121</f>
        <v>72.582399999999993</v>
      </c>
      <c r="E213" s="57">
        <f t="shared" si="84"/>
        <v>17.155840000000001</v>
      </c>
      <c r="F213" s="59">
        <f>Equations!$G$69+C213</f>
        <v>0.52</v>
      </c>
      <c r="G213" s="57">
        <f t="shared" si="85"/>
        <v>0.52</v>
      </c>
      <c r="H213" s="59">
        <f t="shared" si="81"/>
        <v>0.32</v>
      </c>
      <c r="I213" s="60">
        <f t="shared" si="86"/>
        <v>1.9831730769230616E-3</v>
      </c>
      <c r="J213" s="60">
        <f t="shared" si="90"/>
        <v>0.1665865384615384</v>
      </c>
      <c r="K213" s="160">
        <f t="shared" si="87"/>
        <v>166.5865384615384</v>
      </c>
      <c r="L213" s="131">
        <f t="shared" si="88"/>
        <v>0.61538461538461542</v>
      </c>
      <c r="M213" s="58">
        <f t="shared" si="82"/>
        <v>2.7926400000000005</v>
      </c>
      <c r="N213" s="58">
        <f t="shared" si="78"/>
        <v>4.3629807692307345E-3</v>
      </c>
      <c r="O213" s="58">
        <f t="shared" si="89"/>
        <v>2.1999999999999997</v>
      </c>
      <c r="P213" s="58">
        <f>(A213-B213)*(Equations!$G$69*$Q$121+C213)</f>
        <v>2.7076923076923074</v>
      </c>
      <c r="Q213" s="58">
        <f>(A213-B213)*(Equations!$G$69*$R$121+C213)</f>
        <v>1.6923076923076921</v>
      </c>
    </row>
    <row r="214" spans="1:17">
      <c r="A214" s="58">
        <f t="shared" si="79"/>
        <v>22</v>
      </c>
      <c r="B214" s="61">
        <f t="shared" si="80"/>
        <v>17.98076923076923</v>
      </c>
      <c r="C214" s="59">
        <f t="shared" si="83"/>
        <v>0.2</v>
      </c>
      <c r="D214" s="64">
        <f>B121</f>
        <v>72.582399999999993</v>
      </c>
      <c r="E214" s="57">
        <f t="shared" si="84"/>
        <v>18.058778947368417</v>
      </c>
      <c r="F214" s="59">
        <f>Equations!$G$69+C214</f>
        <v>0.52</v>
      </c>
      <c r="G214" s="57">
        <f t="shared" si="85"/>
        <v>0.52</v>
      </c>
      <c r="H214" s="59">
        <f t="shared" si="81"/>
        <v>0.32</v>
      </c>
      <c r="I214" s="60">
        <f t="shared" si="86"/>
        <v>1.9831730769230616E-3</v>
      </c>
      <c r="J214" s="60">
        <f t="shared" si="90"/>
        <v>0.16856971153846145</v>
      </c>
      <c r="K214" s="160">
        <f t="shared" si="87"/>
        <v>168.56971153846146</v>
      </c>
      <c r="L214" s="131">
        <f t="shared" si="88"/>
        <v>0.61538461538461542</v>
      </c>
      <c r="M214" s="58">
        <f t="shared" si="82"/>
        <v>2.943129824561403</v>
      </c>
      <c r="N214" s="58">
        <f t="shared" si="78"/>
        <v>4.1448317307691994E-3</v>
      </c>
      <c r="O214" s="58">
        <f t="shared" si="89"/>
        <v>2.0900000000000003</v>
      </c>
      <c r="P214" s="58">
        <f>(A214-B214)*(Equations!$G$69*$Q$121+C214)</f>
        <v>2.5723076923076929</v>
      </c>
      <c r="Q214" s="58">
        <f>(A214-B214)*(Equations!$G$69*$R$121+C214)</f>
        <v>1.6076923076923082</v>
      </c>
    </row>
    <row r="215" spans="1:17">
      <c r="A215" s="58">
        <f t="shared" si="79"/>
        <v>22</v>
      </c>
      <c r="B215" s="61">
        <f t="shared" si="80"/>
        <v>18.19230769230769</v>
      </c>
      <c r="C215" s="59">
        <f t="shared" si="83"/>
        <v>0.2</v>
      </c>
      <c r="D215" s="64">
        <f>B121</f>
        <v>72.582399999999993</v>
      </c>
      <c r="E215" s="57">
        <f t="shared" si="84"/>
        <v>19.062044444444432</v>
      </c>
      <c r="F215" s="59">
        <f>Equations!$G$69+C215</f>
        <v>0.52</v>
      </c>
      <c r="G215" s="57">
        <f t="shared" si="85"/>
        <v>0.52</v>
      </c>
      <c r="H215" s="59">
        <f t="shared" si="81"/>
        <v>0.32</v>
      </c>
      <c r="I215" s="60">
        <f t="shared" si="86"/>
        <v>1.9831730769230616E-3</v>
      </c>
      <c r="J215" s="60">
        <f t="shared" si="90"/>
        <v>0.17055288461538451</v>
      </c>
      <c r="K215" s="160">
        <f t="shared" si="87"/>
        <v>170.5528846153845</v>
      </c>
      <c r="L215" s="131">
        <f t="shared" si="88"/>
        <v>0.61538461538461542</v>
      </c>
      <c r="M215" s="58">
        <f t="shared" si="82"/>
        <v>3.1103407407407389</v>
      </c>
      <c r="N215" s="58">
        <f t="shared" si="78"/>
        <v>3.9266826923076642E-3</v>
      </c>
      <c r="O215" s="58">
        <f t="shared" si="89"/>
        <v>1.9800000000000013</v>
      </c>
      <c r="P215" s="58">
        <f>(A215-B215)*(Equations!$G$69*$Q$121+C215)</f>
        <v>2.4369230769230787</v>
      </c>
      <c r="Q215" s="58">
        <f>(A215-B215)*(Equations!$G$69*$R$121+C215)</f>
        <v>1.5230769230769241</v>
      </c>
    </row>
    <row r="216" spans="1:17">
      <c r="A216" s="58">
        <f t="shared" si="79"/>
        <v>22</v>
      </c>
      <c r="B216" s="61">
        <f t="shared" si="80"/>
        <v>18.403846153846153</v>
      </c>
      <c r="C216" s="59">
        <f t="shared" si="83"/>
        <v>0.2</v>
      </c>
      <c r="D216" s="64">
        <f>B121</f>
        <v>72.582399999999993</v>
      </c>
      <c r="E216" s="57">
        <f t="shared" si="84"/>
        <v>20.183341176470584</v>
      </c>
      <c r="F216" s="59">
        <f>Equations!$G$69+C216</f>
        <v>0.52</v>
      </c>
      <c r="G216" s="57">
        <f t="shared" si="85"/>
        <v>0.52</v>
      </c>
      <c r="H216" s="59">
        <f t="shared" si="81"/>
        <v>0.32</v>
      </c>
      <c r="I216" s="60">
        <f t="shared" si="86"/>
        <v>1.983173076923095E-3</v>
      </c>
      <c r="J216" s="60">
        <f t="shared" si="90"/>
        <v>0.17253605769230759</v>
      </c>
      <c r="K216" s="160">
        <f t="shared" si="87"/>
        <v>172.53605769230759</v>
      </c>
      <c r="L216" s="131">
        <f t="shared" si="88"/>
        <v>0.61538461538461542</v>
      </c>
      <c r="M216" s="58">
        <f t="shared" si="82"/>
        <v>3.297223529411764</v>
      </c>
      <c r="N216" s="58">
        <f t="shared" si="78"/>
        <v>3.7085336538461881E-3</v>
      </c>
      <c r="O216" s="58">
        <f t="shared" si="89"/>
        <v>1.8700000000000003</v>
      </c>
      <c r="P216" s="58">
        <f>(A216-B216)*(Equations!$G$69*$Q$121+C216)</f>
        <v>2.301538461538462</v>
      </c>
      <c r="Q216" s="58">
        <f>(A216-B216)*(Equations!$G$69*$R$121+C216)</f>
        <v>1.4384615384615387</v>
      </c>
    </row>
    <row r="217" spans="1:17">
      <c r="A217" s="58">
        <f t="shared" si="79"/>
        <v>22</v>
      </c>
      <c r="B217" s="61">
        <f t="shared" si="80"/>
        <v>18.615384615384617</v>
      </c>
      <c r="C217" s="59">
        <f t="shared" si="83"/>
        <v>0.2</v>
      </c>
      <c r="D217" s="64">
        <f>B121</f>
        <v>72.582399999999993</v>
      </c>
      <c r="E217" s="57">
        <f t="shared" si="84"/>
        <v>21.444800000000008</v>
      </c>
      <c r="F217" s="59">
        <f>Equations!$G$69+C217</f>
        <v>0.52</v>
      </c>
      <c r="G217" s="57">
        <f t="shared" si="85"/>
        <v>0.52</v>
      </c>
      <c r="H217" s="59">
        <f t="shared" si="81"/>
        <v>0.32</v>
      </c>
      <c r="I217" s="60">
        <f t="shared" si="86"/>
        <v>1.983173076923095E-3</v>
      </c>
      <c r="J217" s="60">
        <f t="shared" si="90"/>
        <v>0.17451923076923068</v>
      </c>
      <c r="K217" s="160">
        <f t="shared" si="87"/>
        <v>174.51923076923069</v>
      </c>
      <c r="L217" s="131">
        <f t="shared" si="88"/>
        <v>0.61538461538461542</v>
      </c>
      <c r="M217" s="58">
        <f t="shared" si="82"/>
        <v>3.5074666666666681</v>
      </c>
      <c r="N217" s="58">
        <f t="shared" si="78"/>
        <v>3.4903846153846456E-3</v>
      </c>
      <c r="O217" s="58">
        <f t="shared" si="89"/>
        <v>1.7599999999999993</v>
      </c>
      <c r="P217" s="58">
        <f>(A217-B217)*(Equations!$G$69*$Q$121+C217)</f>
        <v>2.1661538461538452</v>
      </c>
      <c r="Q217" s="58">
        <f>(A217-B217)*(Equations!$G$69*$R$121+C217)</f>
        <v>1.3538461538461535</v>
      </c>
    </row>
    <row r="218" spans="1:17">
      <c r="A218" s="58">
        <f t="shared" si="79"/>
        <v>22</v>
      </c>
      <c r="B218" s="61">
        <f t="shared" si="80"/>
        <v>18.826923076923077</v>
      </c>
      <c r="C218" s="59">
        <f t="shared" si="83"/>
        <v>0.2</v>
      </c>
      <c r="D218" s="64">
        <f>B121</f>
        <v>72.582399999999993</v>
      </c>
      <c r="E218" s="57">
        <f t="shared" si="84"/>
        <v>22.681999999999999</v>
      </c>
      <c r="F218" s="59">
        <f>Equations!$G$69+C218</f>
        <v>0.52</v>
      </c>
      <c r="G218" s="57">
        <f t="shared" si="85"/>
        <v>0.52</v>
      </c>
      <c r="H218" s="59">
        <f t="shared" si="81"/>
        <v>0.32</v>
      </c>
      <c r="I218" s="60">
        <f t="shared" si="86"/>
        <v>1.9831730769230616E-3</v>
      </c>
      <c r="J218" s="60">
        <f t="shared" si="90"/>
        <v>0.17650240384615373</v>
      </c>
      <c r="K218" s="160">
        <f t="shared" si="87"/>
        <v>176.50240384615373</v>
      </c>
      <c r="L218" s="131">
        <f t="shared" si="88"/>
        <v>0.61538461538461542</v>
      </c>
      <c r="M218" s="58">
        <f t="shared" si="82"/>
        <v>3.7136666666666662</v>
      </c>
      <c r="N218" s="58">
        <f t="shared" si="78"/>
        <v>3.2722355769230519E-3</v>
      </c>
      <c r="O218" s="58">
        <f t="shared" si="89"/>
        <v>1.6500000000000001</v>
      </c>
      <c r="P218" s="58">
        <f>(A218-B218)*(Equations!$G$69*$Q$121+C218)</f>
        <v>2.0307692307692311</v>
      </c>
      <c r="Q218" s="58">
        <f>(A218-B218)*(Equations!$G$69*$R$121+C218)</f>
        <v>1.2692307692307694</v>
      </c>
    </row>
    <row r="219" spans="1:17">
      <c r="A219" s="58">
        <f t="shared" si="79"/>
        <v>22</v>
      </c>
      <c r="B219" s="61">
        <f t="shared" si="80"/>
        <v>19.03846153846154</v>
      </c>
      <c r="C219" s="59">
        <f t="shared" si="83"/>
        <v>0.2</v>
      </c>
      <c r="D219" s="64">
        <f>B121</f>
        <v>72.582399999999993</v>
      </c>
      <c r="E219" s="57">
        <f t="shared" si="84"/>
        <v>22.681999999999999</v>
      </c>
      <c r="F219" s="59">
        <f>Equations!$G$69+C219</f>
        <v>0.52</v>
      </c>
      <c r="G219" s="57">
        <f t="shared" si="85"/>
        <v>0.52</v>
      </c>
      <c r="H219" s="59">
        <f t="shared" si="81"/>
        <v>0.32</v>
      </c>
      <c r="I219" s="60">
        <f t="shared" si="86"/>
        <v>1.983173076923095E-3</v>
      </c>
      <c r="J219" s="60">
        <f t="shared" si="90"/>
        <v>0.17848557692307682</v>
      </c>
      <c r="K219" s="160">
        <f t="shared" si="87"/>
        <v>178.48557692307682</v>
      </c>
      <c r="L219" s="131">
        <f t="shared" si="88"/>
        <v>0.61538461538461542</v>
      </c>
      <c r="M219" s="58">
        <f t="shared" si="82"/>
        <v>3.7136666666666662</v>
      </c>
      <c r="N219" s="58">
        <f t="shared" si="78"/>
        <v>3.0540865384615645E-3</v>
      </c>
      <c r="O219" s="58">
        <f t="shared" si="89"/>
        <v>1.5399999999999991</v>
      </c>
      <c r="P219" s="58">
        <f>(A219-B219)*(Equations!$G$69*$Q$121+C219)</f>
        <v>1.8953846153846143</v>
      </c>
      <c r="Q219" s="58">
        <f>(A219-B219)*(Equations!$G$69*$R$121+C219)</f>
        <v>1.184615384615384</v>
      </c>
    </row>
    <row r="220" spans="1:17">
      <c r="A220" s="58">
        <f t="shared" si="79"/>
        <v>22</v>
      </c>
      <c r="B220" s="61">
        <f t="shared" si="80"/>
        <v>19.25</v>
      </c>
      <c r="C220" s="59">
        <f t="shared" si="83"/>
        <v>0.2</v>
      </c>
      <c r="D220" s="64">
        <f>B121</f>
        <v>72.582399999999993</v>
      </c>
      <c r="E220" s="57">
        <f t="shared" si="84"/>
        <v>22.681999999999999</v>
      </c>
      <c r="F220" s="59">
        <f>Equations!$G$69+C220</f>
        <v>0.52</v>
      </c>
      <c r="G220" s="57">
        <f t="shared" si="85"/>
        <v>0.52</v>
      </c>
      <c r="H220" s="59">
        <f t="shared" si="81"/>
        <v>0.32</v>
      </c>
      <c r="I220" s="60">
        <f t="shared" si="86"/>
        <v>1.9831730769230616E-3</v>
      </c>
      <c r="J220" s="60">
        <f t="shared" si="90"/>
        <v>0.18046874999999987</v>
      </c>
      <c r="K220" s="160">
        <f t="shared" si="87"/>
        <v>180.46874999999989</v>
      </c>
      <c r="L220" s="131">
        <f t="shared" si="88"/>
        <v>0.61538461538461542</v>
      </c>
      <c r="M220" s="58">
        <f t="shared" si="82"/>
        <v>3.7136666666666662</v>
      </c>
      <c r="N220" s="58">
        <f t="shared" si="78"/>
        <v>2.8359374999999782E-3</v>
      </c>
      <c r="O220" s="58">
        <f t="shared" si="89"/>
        <v>1.4300000000000002</v>
      </c>
      <c r="P220" s="58">
        <f>(A220-B220)*(Equations!$G$69*$Q$121+C220)</f>
        <v>1.76</v>
      </c>
      <c r="Q220" s="58">
        <f>(A220-B220)*(Equations!$G$69*$R$121+C220)</f>
        <v>1.1000000000000001</v>
      </c>
    </row>
    <row r="221" spans="1:17">
      <c r="A221" s="58">
        <f t="shared" si="79"/>
        <v>22</v>
      </c>
      <c r="B221" s="61">
        <f t="shared" si="80"/>
        <v>19.46153846153846</v>
      </c>
      <c r="C221" s="59">
        <f t="shared" si="83"/>
        <v>0.2</v>
      </c>
      <c r="D221" s="64">
        <f>B121</f>
        <v>72.582399999999993</v>
      </c>
      <c r="E221" s="57">
        <f t="shared" si="84"/>
        <v>22.681999999999999</v>
      </c>
      <c r="F221" s="59">
        <f>Equations!$G$69+C221</f>
        <v>0.52</v>
      </c>
      <c r="G221" s="57">
        <f t="shared" si="85"/>
        <v>0.52</v>
      </c>
      <c r="H221" s="59">
        <f t="shared" si="81"/>
        <v>0.32</v>
      </c>
      <c r="I221" s="60">
        <f t="shared" si="86"/>
        <v>1.9831730769230616E-3</v>
      </c>
      <c r="J221" s="60">
        <f t="shared" si="90"/>
        <v>0.18245192307692293</v>
      </c>
      <c r="K221" s="160">
        <f t="shared" si="87"/>
        <v>182.45192307692292</v>
      </c>
      <c r="L221" s="131">
        <f t="shared" si="88"/>
        <v>0.61538461538461542</v>
      </c>
      <c r="M221" s="58">
        <f t="shared" si="82"/>
        <v>3.7136666666666662</v>
      </c>
      <c r="N221" s="58">
        <f t="shared" si="78"/>
        <v>2.6177884615384431E-3</v>
      </c>
      <c r="O221" s="58">
        <f t="shared" si="89"/>
        <v>1.320000000000001</v>
      </c>
      <c r="P221" s="58">
        <f>(A221-B221)*(Equations!$G$69*$Q$121+C221)</f>
        <v>1.6246153846153857</v>
      </c>
      <c r="Q221" s="58">
        <f>(A221-B221)*(Equations!$G$69*$R$121+C221)</f>
        <v>1.015384615384616</v>
      </c>
    </row>
    <row r="222" spans="1:17">
      <c r="A222" s="58">
        <f t="shared" si="79"/>
        <v>22</v>
      </c>
      <c r="B222" s="61">
        <f t="shared" si="80"/>
        <v>19.673076923076923</v>
      </c>
      <c r="C222" s="59">
        <f t="shared" si="83"/>
        <v>0.2</v>
      </c>
      <c r="D222" s="64">
        <f>B121</f>
        <v>72.582399999999993</v>
      </c>
      <c r="E222" s="57">
        <f t="shared" si="84"/>
        <v>22.681999999999999</v>
      </c>
      <c r="F222" s="59">
        <f>Equations!$G$69+C222</f>
        <v>0.52</v>
      </c>
      <c r="G222" s="57">
        <f t="shared" si="85"/>
        <v>0.52</v>
      </c>
      <c r="H222" s="59">
        <f t="shared" si="81"/>
        <v>0.32</v>
      </c>
      <c r="I222" s="60">
        <f t="shared" si="86"/>
        <v>1.983173076923095E-3</v>
      </c>
      <c r="J222" s="60">
        <f t="shared" si="90"/>
        <v>0.18443509615384601</v>
      </c>
      <c r="K222" s="160">
        <f t="shared" si="87"/>
        <v>184.43509615384602</v>
      </c>
      <c r="L222" s="131">
        <f t="shared" si="88"/>
        <v>0.61538461538461542</v>
      </c>
      <c r="M222" s="58">
        <f t="shared" si="82"/>
        <v>3.7136666666666662</v>
      </c>
      <c r="N222" s="58">
        <f t="shared" si="78"/>
        <v>2.3996394230769444E-3</v>
      </c>
      <c r="O222" s="58">
        <f t="shared" si="89"/>
        <v>1.21</v>
      </c>
      <c r="P222" s="58">
        <f>(A222-B222)*(Equations!$G$69*$Q$121+C222)</f>
        <v>1.4892307692307691</v>
      </c>
      <c r="Q222" s="58">
        <f>(A222-B222)*(Equations!$G$69*$R$121+C222)</f>
        <v>0.93076923076923068</v>
      </c>
    </row>
    <row r="223" spans="1:17">
      <c r="A223" s="58">
        <f t="shared" si="79"/>
        <v>22</v>
      </c>
      <c r="B223" s="61">
        <f t="shared" si="80"/>
        <v>19.884615384615383</v>
      </c>
      <c r="C223" s="59">
        <f t="shared" si="83"/>
        <v>0.2</v>
      </c>
      <c r="D223" s="64">
        <f>B121</f>
        <v>72.582399999999993</v>
      </c>
      <c r="E223" s="57">
        <f t="shared" si="84"/>
        <v>22.681999999999999</v>
      </c>
      <c r="F223" s="59">
        <f>Equations!$G$69+C223</f>
        <v>0.52</v>
      </c>
      <c r="G223" s="57">
        <f t="shared" si="85"/>
        <v>0.52</v>
      </c>
      <c r="H223" s="59">
        <f t="shared" si="81"/>
        <v>0.32</v>
      </c>
      <c r="I223" s="60">
        <f t="shared" si="86"/>
        <v>1.9831730769230616E-3</v>
      </c>
      <c r="J223" s="60">
        <f t="shared" si="90"/>
        <v>0.18641826923076907</v>
      </c>
      <c r="K223" s="160">
        <f t="shared" si="87"/>
        <v>186.41826923076906</v>
      </c>
      <c r="L223" s="131">
        <f t="shared" si="88"/>
        <v>0.61538461538461542</v>
      </c>
      <c r="M223" s="58">
        <f t="shared" si="82"/>
        <v>3.7136666666666662</v>
      </c>
      <c r="N223" s="58">
        <f t="shared" si="78"/>
        <v>2.181490384615369E-3</v>
      </c>
      <c r="O223" s="58">
        <f t="shared" si="89"/>
        <v>1.1000000000000008</v>
      </c>
      <c r="P223" s="58">
        <f>(A223-B223)*(Equations!$G$69*$Q$121+C223)</f>
        <v>1.3538461538461548</v>
      </c>
      <c r="Q223" s="58">
        <f>(A223-B223)*(Equations!$G$69*$R$121+C223)</f>
        <v>0.8461538461538467</v>
      </c>
    </row>
    <row r="224" spans="1:17">
      <c r="A224" s="58">
        <f t="shared" si="79"/>
        <v>22</v>
      </c>
      <c r="B224" s="61">
        <f t="shared" si="80"/>
        <v>20.096153846153847</v>
      </c>
      <c r="C224" s="59">
        <f t="shared" si="83"/>
        <v>0.2</v>
      </c>
      <c r="D224" s="64">
        <f>B121</f>
        <v>72.582399999999993</v>
      </c>
      <c r="E224" s="57">
        <f t="shared" si="84"/>
        <v>22.681999999999999</v>
      </c>
      <c r="F224" s="59">
        <f>Equations!$G$69+C224</f>
        <v>0.52</v>
      </c>
      <c r="G224" s="57">
        <f t="shared" si="85"/>
        <v>0.52</v>
      </c>
      <c r="H224" s="59">
        <f t="shared" si="81"/>
        <v>0.32</v>
      </c>
      <c r="I224" s="60">
        <f t="shared" si="86"/>
        <v>1.983173076923095E-3</v>
      </c>
      <c r="J224" s="60">
        <f t="shared" si="90"/>
        <v>0.18840144230769215</v>
      </c>
      <c r="K224" s="160">
        <f t="shared" si="87"/>
        <v>188.40144230769215</v>
      </c>
      <c r="L224" s="131">
        <f t="shared" si="88"/>
        <v>0.61538461538461542</v>
      </c>
      <c r="M224" s="58">
        <f t="shared" si="82"/>
        <v>3.7136666666666662</v>
      </c>
      <c r="N224" s="58">
        <f t="shared" si="78"/>
        <v>1.9633413461538633E-3</v>
      </c>
      <c r="O224" s="58">
        <f t="shared" si="89"/>
        <v>0.98999999999999977</v>
      </c>
      <c r="P224" s="58">
        <f>(A224-B224)*(Equations!$G$69*$Q$121+C224)</f>
        <v>1.218461538461538</v>
      </c>
      <c r="Q224" s="58">
        <f>(A224-B224)*(Equations!$G$69*$R$121+C224)</f>
        <v>0.76153846153846139</v>
      </c>
    </row>
    <row r="225" spans="1:18">
      <c r="A225" s="58">
        <f t="shared" si="79"/>
        <v>22</v>
      </c>
      <c r="B225" s="61">
        <f t="shared" ref="B225:B233" si="91">VINMAX*((ROW()-129)/104)</f>
        <v>20.30769230769231</v>
      </c>
      <c r="C225" s="59">
        <f t="shared" si="83"/>
        <v>0.2</v>
      </c>
      <c r="D225" s="64">
        <f>B121</f>
        <v>72.582399999999993</v>
      </c>
      <c r="E225" s="57">
        <f t="shared" si="84"/>
        <v>22.681999999999999</v>
      </c>
      <c r="F225" s="59">
        <f>Equations!$G$69+C225</f>
        <v>0.52</v>
      </c>
      <c r="G225" s="57">
        <f t="shared" si="85"/>
        <v>0.52</v>
      </c>
      <c r="H225" s="59">
        <f t="shared" si="81"/>
        <v>0.32</v>
      </c>
      <c r="I225" s="60">
        <f t="shared" si="86"/>
        <v>1.983173076923095E-3</v>
      </c>
      <c r="J225" s="60">
        <f t="shared" si="90"/>
        <v>0.19038461538461524</v>
      </c>
      <c r="K225" s="160">
        <f t="shared" si="87"/>
        <v>190.38461538461524</v>
      </c>
      <c r="L225" s="131">
        <f t="shared" si="88"/>
        <v>0.61538461538461542</v>
      </c>
      <c r="M225" s="58">
        <f t="shared" si="82"/>
        <v>3.7136666666666662</v>
      </c>
      <c r="N225" s="58">
        <f t="shared" si="78"/>
        <v>1.7451923076923211E-3</v>
      </c>
      <c r="O225" s="58">
        <f t="shared" si="89"/>
        <v>0.87999999999999878</v>
      </c>
      <c r="P225" s="58">
        <f>(A225-B225)*(Equations!$G$69*$Q$121+C225)</f>
        <v>1.0830769230769215</v>
      </c>
      <c r="Q225" s="58">
        <f>(A225-B225)*(Equations!$G$69*$R$121+C225)</f>
        <v>0.67692307692307596</v>
      </c>
    </row>
    <row r="226" spans="1:18">
      <c r="A226" s="58">
        <f t="shared" si="79"/>
        <v>22</v>
      </c>
      <c r="B226" s="61">
        <f t="shared" si="91"/>
        <v>20.51923076923077</v>
      </c>
      <c r="C226" s="59">
        <f t="shared" si="83"/>
        <v>0.2</v>
      </c>
      <c r="D226" s="64">
        <f>B121</f>
        <v>72.582399999999993</v>
      </c>
      <c r="E226" s="57">
        <f t="shared" si="84"/>
        <v>22.681999999999999</v>
      </c>
      <c r="F226" s="59">
        <f>Equations!$G$69+C226</f>
        <v>0.52</v>
      </c>
      <c r="G226" s="57">
        <f t="shared" si="85"/>
        <v>0.52</v>
      </c>
      <c r="H226" s="59">
        <f t="shared" si="81"/>
        <v>0.32</v>
      </c>
      <c r="I226" s="60">
        <f t="shared" si="86"/>
        <v>1.9831730769230616E-3</v>
      </c>
      <c r="J226" s="60">
        <f t="shared" si="90"/>
        <v>0.19236778846153829</v>
      </c>
      <c r="K226" s="160">
        <f t="shared" si="87"/>
        <v>192.36778846153828</v>
      </c>
      <c r="L226" s="131">
        <f t="shared" si="88"/>
        <v>0.61538461538461542</v>
      </c>
      <c r="M226" s="58">
        <f t="shared" si="82"/>
        <v>3.7136666666666662</v>
      </c>
      <c r="N226" s="58">
        <f t="shared" si="78"/>
        <v>1.5270432692307567E-3</v>
      </c>
      <c r="O226" s="58">
        <f t="shared" si="89"/>
        <v>0.76999999999999957</v>
      </c>
      <c r="P226" s="58">
        <f>(A226-B226)*(Equations!$G$69*$Q$121+C226)</f>
        <v>0.94769230769230717</v>
      </c>
      <c r="Q226" s="58">
        <f>(A226-B226)*(Equations!$G$69*$R$121+C226)</f>
        <v>0.59230769230769198</v>
      </c>
    </row>
    <row r="227" spans="1:18">
      <c r="A227" s="58">
        <f t="shared" si="79"/>
        <v>22</v>
      </c>
      <c r="B227" s="61">
        <f t="shared" si="91"/>
        <v>20.73076923076923</v>
      </c>
      <c r="C227" s="59">
        <f t="shared" si="83"/>
        <v>0.2</v>
      </c>
      <c r="D227" s="64">
        <f>B121</f>
        <v>72.582399999999993</v>
      </c>
      <c r="E227" s="57">
        <f t="shared" si="84"/>
        <v>22.681999999999999</v>
      </c>
      <c r="F227" s="59">
        <f>Equations!$G$69+C227</f>
        <v>0.52</v>
      </c>
      <c r="G227" s="57">
        <f t="shared" si="85"/>
        <v>0.52</v>
      </c>
      <c r="H227" s="59">
        <f t="shared" si="81"/>
        <v>0.32</v>
      </c>
      <c r="I227" s="60">
        <f t="shared" si="86"/>
        <v>1.9831730769230616E-3</v>
      </c>
      <c r="J227" s="60">
        <f t="shared" si="90"/>
        <v>0.19435096153846135</v>
      </c>
      <c r="K227" s="160">
        <f t="shared" si="87"/>
        <v>194.35096153846135</v>
      </c>
      <c r="L227" s="131">
        <f t="shared" si="88"/>
        <v>0.61538461538461542</v>
      </c>
      <c r="M227" s="58">
        <f t="shared" si="82"/>
        <v>3.7136666666666662</v>
      </c>
      <c r="N227" s="58">
        <f t="shared" si="78"/>
        <v>1.3088942307692216E-3</v>
      </c>
      <c r="O227" s="58">
        <f t="shared" si="89"/>
        <v>0.66000000000000048</v>
      </c>
      <c r="P227" s="58">
        <f>(A227-B227)*(Equations!$G$69*$Q$121+C227)</f>
        <v>0.81230769230769284</v>
      </c>
      <c r="Q227" s="58">
        <f>(A227-B227)*(Equations!$G$69*$R$121+C227)</f>
        <v>0.507692307692308</v>
      </c>
    </row>
    <row r="228" spans="1:18">
      <c r="A228" s="58">
        <f t="shared" si="79"/>
        <v>22</v>
      </c>
      <c r="B228" s="61">
        <f t="shared" si="91"/>
        <v>20.94230769230769</v>
      </c>
      <c r="C228" s="59">
        <f t="shared" si="83"/>
        <v>0.2</v>
      </c>
      <c r="D228" s="64">
        <f>B121</f>
        <v>72.582399999999993</v>
      </c>
      <c r="E228" s="57">
        <f t="shared" si="84"/>
        <v>22.681999999999999</v>
      </c>
      <c r="F228" s="59">
        <f>Equations!$G$69+C228</f>
        <v>0.52</v>
      </c>
      <c r="G228" s="57">
        <f t="shared" si="85"/>
        <v>0.52</v>
      </c>
      <c r="H228" s="59">
        <f t="shared" si="81"/>
        <v>0.32</v>
      </c>
      <c r="I228" s="60">
        <f t="shared" si="86"/>
        <v>1.9831730769230616E-3</v>
      </c>
      <c r="J228" s="60">
        <f t="shared" si="90"/>
        <v>0.1963341346153844</v>
      </c>
      <c r="K228" s="160">
        <f t="shared" si="87"/>
        <v>196.33413461538441</v>
      </c>
      <c r="L228" s="131">
        <f t="shared" si="88"/>
        <v>0.61538461538461542</v>
      </c>
      <c r="M228" s="58">
        <f t="shared" si="82"/>
        <v>3.7136666666666662</v>
      </c>
      <c r="N228" s="58">
        <f t="shared" si="78"/>
        <v>1.0907451923076864E-3</v>
      </c>
      <c r="O228" s="58">
        <f t="shared" si="89"/>
        <v>0.55000000000000127</v>
      </c>
      <c r="P228" s="58">
        <f>(A228-B228)*(Equations!$G$69*$Q$121+C228)</f>
        <v>0.67692307692307851</v>
      </c>
      <c r="Q228" s="58">
        <f>(A228-B228)*(Equations!$G$69*$R$121+C228)</f>
        <v>0.42307692307692407</v>
      </c>
    </row>
    <row r="229" spans="1:18">
      <c r="A229" s="58">
        <f t="shared" si="79"/>
        <v>22</v>
      </c>
      <c r="B229" s="61">
        <f t="shared" si="91"/>
        <v>21.153846153846153</v>
      </c>
      <c r="C229" s="59">
        <f t="shared" si="83"/>
        <v>0.2</v>
      </c>
      <c r="D229" s="64">
        <f>B121</f>
        <v>72.582399999999993</v>
      </c>
      <c r="E229" s="57">
        <f t="shared" si="84"/>
        <v>22.681999999999999</v>
      </c>
      <c r="F229" s="59">
        <f>Equations!$G$69+C229</f>
        <v>0.52</v>
      </c>
      <c r="G229" s="57">
        <f t="shared" si="85"/>
        <v>0.52</v>
      </c>
      <c r="H229" s="59">
        <f t="shared" si="81"/>
        <v>0.32</v>
      </c>
      <c r="I229" s="60">
        <f t="shared" si="86"/>
        <v>1.983173076923095E-3</v>
      </c>
      <c r="J229" s="60">
        <f t="shared" si="90"/>
        <v>0.19831730769230749</v>
      </c>
      <c r="K229" s="160">
        <f t="shared" si="87"/>
        <v>198.31730769230748</v>
      </c>
      <c r="L229" s="131">
        <f t="shared" si="88"/>
        <v>0.61538461538461542</v>
      </c>
      <c r="M229" s="58">
        <f t="shared" si="82"/>
        <v>3.7136666666666662</v>
      </c>
      <c r="N229" s="58">
        <f t="shared" si="78"/>
        <v>8.7259615384616238E-4</v>
      </c>
      <c r="O229" s="58">
        <f t="shared" si="89"/>
        <v>0.44000000000000028</v>
      </c>
      <c r="P229" s="58">
        <f>(A229-B229)*(Equations!$G$69*$Q$121+C229)</f>
        <v>0.54153846153846186</v>
      </c>
      <c r="Q229" s="58">
        <f>(A229-B229)*(Equations!$G$69*$R$121+C229)</f>
        <v>0.3384615384615387</v>
      </c>
    </row>
    <row r="230" spans="1:18">
      <c r="A230" s="58">
        <f t="shared" si="79"/>
        <v>22</v>
      </c>
      <c r="B230" s="61">
        <f t="shared" si="91"/>
        <v>21.365384615384617</v>
      </c>
      <c r="C230" s="59">
        <f t="shared" si="83"/>
        <v>0.2</v>
      </c>
      <c r="D230" s="64">
        <f>B121</f>
        <v>72.582399999999993</v>
      </c>
      <c r="E230" s="57">
        <f>$C$121</f>
        <v>22.681999999999999</v>
      </c>
      <c r="F230" s="59">
        <f>Equations!$G$69+C230</f>
        <v>0.52</v>
      </c>
      <c r="G230" s="57">
        <f t="shared" si="85"/>
        <v>0.52</v>
      </c>
      <c r="H230" s="59">
        <f>G230-C230</f>
        <v>0.32</v>
      </c>
      <c r="I230" s="60">
        <f>(COUTMAX/1000000)*(B230-B229)/H230</f>
        <v>1.983173076923095E-3</v>
      </c>
      <c r="J230" s="60">
        <f>J229+I230</f>
        <v>0.20030048076923057</v>
      </c>
      <c r="K230" s="160">
        <f t="shared" si="87"/>
        <v>200.30048076923057</v>
      </c>
      <c r="L230" s="131">
        <f>H230/G230</f>
        <v>0.61538461538461542</v>
      </c>
      <c r="M230" s="58">
        <f t="shared" si="82"/>
        <v>3.7136666666666662</v>
      </c>
      <c r="N230" s="58">
        <f>I230*G230*(A230-B230)</f>
        <v>6.5444711538461989E-4</v>
      </c>
      <c r="O230" s="58">
        <f t="shared" si="89"/>
        <v>0.32999999999999929</v>
      </c>
      <c r="P230" s="58">
        <f>(A230-B230)*(Equations!$G$69*$Q$121+C230)</f>
        <v>0.40615384615384531</v>
      </c>
      <c r="Q230" s="58">
        <f>(A230-B230)*(Equations!$G$69*$R$121+C230)</f>
        <v>0.25384615384615333</v>
      </c>
    </row>
    <row r="231" spans="1:18">
      <c r="A231" s="58">
        <f t="shared" si="79"/>
        <v>22</v>
      </c>
      <c r="B231" s="61">
        <f t="shared" si="91"/>
        <v>21.576923076923077</v>
      </c>
      <c r="C231" s="59">
        <f t="shared" si="83"/>
        <v>0.2</v>
      </c>
      <c r="D231" s="64">
        <f>B121</f>
        <v>72.582399999999993</v>
      </c>
      <c r="E231" s="57">
        <f>$C$121</f>
        <v>22.681999999999999</v>
      </c>
      <c r="F231" s="59">
        <f>Equations!$G$69+C231</f>
        <v>0.52</v>
      </c>
      <c r="G231" s="57">
        <f t="shared" si="85"/>
        <v>0.52</v>
      </c>
      <c r="H231" s="59">
        <f t="shared" ref="H231:H233" si="92">G231-C231</f>
        <v>0.32</v>
      </c>
      <c r="I231" s="60">
        <f t="shared" ref="I231:I233" si="93">(COUTMAX/1000000)*(B231-B230)/H231</f>
        <v>1.9831730769230616E-3</v>
      </c>
      <c r="J231" s="60">
        <f t="shared" ref="J231:J233" si="94">J230+I231</f>
        <v>0.20228365384615363</v>
      </c>
      <c r="K231" s="160">
        <f t="shared" si="87"/>
        <v>202.28365384615364</v>
      </c>
      <c r="L231" s="131">
        <f t="shared" ref="L231:L233" si="95">H231/G231</f>
        <v>0.61538461538461542</v>
      </c>
      <c r="M231" s="58">
        <f t="shared" si="82"/>
        <v>3.7136666666666662</v>
      </c>
      <c r="N231" s="58">
        <f t="shared" ref="N231:N233" si="96">I231*G231*(A231-B231)</f>
        <v>4.3629807692307382E-4</v>
      </c>
      <c r="O231" s="58">
        <f t="shared" si="89"/>
        <v>0.22000000000000014</v>
      </c>
      <c r="P231" s="58">
        <f>(A231-B231)*(Equations!$G$69*$Q$121+C231)</f>
        <v>0.27076923076923093</v>
      </c>
      <c r="Q231" s="58">
        <f>(A231-B231)*(Equations!$G$69*$R$121+C231)</f>
        <v>0.16923076923076935</v>
      </c>
    </row>
    <row r="232" spans="1:18">
      <c r="A232" s="58">
        <f t="shared" si="79"/>
        <v>22</v>
      </c>
      <c r="B232" s="61">
        <f t="shared" si="91"/>
        <v>21.78846153846154</v>
      </c>
      <c r="C232" s="59">
        <f t="shared" si="83"/>
        <v>0.2</v>
      </c>
      <c r="D232" s="64">
        <f>B121</f>
        <v>72.582399999999993</v>
      </c>
      <c r="E232" s="57">
        <f>$C$121</f>
        <v>22.681999999999999</v>
      </c>
      <c r="F232" s="59">
        <f>Equations!$G$69+C232</f>
        <v>0.52</v>
      </c>
      <c r="G232" s="57">
        <f t="shared" si="85"/>
        <v>0.52</v>
      </c>
      <c r="H232" s="59">
        <f t="shared" si="92"/>
        <v>0.32</v>
      </c>
      <c r="I232" s="60">
        <f t="shared" si="93"/>
        <v>1.983173076923095E-3</v>
      </c>
      <c r="J232" s="60">
        <f t="shared" si="94"/>
        <v>0.20426682692307671</v>
      </c>
      <c r="K232" s="160">
        <f t="shared" si="87"/>
        <v>204.26682692307671</v>
      </c>
      <c r="L232" s="131">
        <f t="shared" si="95"/>
        <v>0.61538461538461542</v>
      </c>
      <c r="M232" s="58">
        <f t="shared" si="82"/>
        <v>3.7136666666666662</v>
      </c>
      <c r="N232" s="58">
        <f t="shared" si="96"/>
        <v>2.1814903846153875E-4</v>
      </c>
      <c r="O232" s="58">
        <f t="shared" si="89"/>
        <v>0.10999999999999915</v>
      </c>
      <c r="P232" s="58">
        <f>(A232-B232)*(Equations!$G$69*$Q$121+C232)</f>
        <v>0.13538461538461433</v>
      </c>
      <c r="Q232" s="58">
        <f>(A232-B232)*(Equations!$G$69*$R$121+C232)</f>
        <v>8.4615384615383968E-2</v>
      </c>
    </row>
    <row r="233" spans="1:18">
      <c r="A233" s="58">
        <f t="shared" si="79"/>
        <v>22</v>
      </c>
      <c r="B233" s="61">
        <f t="shared" si="91"/>
        <v>22</v>
      </c>
      <c r="C233" s="59">
        <f t="shared" si="83"/>
        <v>0.2</v>
      </c>
      <c r="D233" s="64">
        <f>B121</f>
        <v>72.582399999999993</v>
      </c>
      <c r="E233" s="57">
        <f>$C$121</f>
        <v>22.681999999999999</v>
      </c>
      <c r="F233" s="59">
        <f>Equations!$G$69+C233</f>
        <v>0.52</v>
      </c>
      <c r="G233" s="57">
        <f t="shared" si="85"/>
        <v>0.52</v>
      </c>
      <c r="H233" s="59">
        <f t="shared" si="92"/>
        <v>0.32</v>
      </c>
      <c r="I233" s="60">
        <f t="shared" si="93"/>
        <v>1.9831730769230616E-3</v>
      </c>
      <c r="J233" s="60">
        <f t="shared" si="94"/>
        <v>0.20624999999999977</v>
      </c>
      <c r="K233" s="160">
        <f t="shared" si="87"/>
        <v>206.24999999999977</v>
      </c>
      <c r="L233" s="131">
        <f t="shared" si="95"/>
        <v>0.61538461538461542</v>
      </c>
      <c r="M233" s="58">
        <f t="shared" si="82"/>
        <v>3.7136666666666662</v>
      </c>
      <c r="N233" s="58">
        <f t="shared" si="96"/>
        <v>0</v>
      </c>
      <c r="O233" s="58">
        <f t="shared" si="89"/>
        <v>0</v>
      </c>
      <c r="P233" s="58">
        <f>(A233-B233)*(Equations!$G$69*$Q$121+C233)</f>
        <v>0</v>
      </c>
      <c r="Q233" s="58">
        <f>(A233-B233)*(Equations!$G$69*$R$121+C233)</f>
        <v>0</v>
      </c>
    </row>
    <row r="234" spans="1:18">
      <c r="K234" s="161">
        <f>K233+0.5</f>
        <v>206.74999999999977</v>
      </c>
      <c r="N234" s="58">
        <v>0</v>
      </c>
      <c r="O234" s="58">
        <v>0</v>
      </c>
    </row>
    <row r="239" spans="1:18">
      <c r="B239" s="58" t="s">
        <v>138</v>
      </c>
      <c r="C239" s="58" t="s">
        <v>276</v>
      </c>
      <c r="D239" s="58" t="s">
        <v>277</v>
      </c>
      <c r="F239" s="133" t="s">
        <v>311</v>
      </c>
      <c r="G239" s="133" t="s">
        <v>278</v>
      </c>
      <c r="H239" s="133" t="s">
        <v>279</v>
      </c>
      <c r="I239" s="133" t="s">
        <v>280</v>
      </c>
      <c r="J239" s="133" t="s">
        <v>281</v>
      </c>
      <c r="K239" s="133"/>
      <c r="L239" s="133"/>
      <c r="M239" s="133" t="s">
        <v>285</v>
      </c>
      <c r="N239" s="133"/>
      <c r="O239" s="133" t="s">
        <v>286</v>
      </c>
      <c r="Q239" s="58" t="s">
        <v>326</v>
      </c>
      <c r="R239" s="58" t="s">
        <v>327</v>
      </c>
    </row>
    <row r="240" spans="1:18">
      <c r="B240" s="128">
        <f>'Design Calculator'!F52</f>
        <v>72.582399999999993</v>
      </c>
      <c r="C240" s="58">
        <f>'Design Calculator'!F42</f>
        <v>22.681999999999999</v>
      </c>
      <c r="D240" s="58" t="str">
        <f>IF( 'Design Calculator'!F28 = "Constant Current", "CC", "R")</f>
        <v>CC</v>
      </c>
      <c r="F240" s="58" t="str">
        <f>'Design Calculator'!F30</f>
        <v>Soft Start</v>
      </c>
      <c r="G240" s="58">
        <f>'Design Calculator'!F29</f>
        <v>0.2</v>
      </c>
      <c r="H240" s="58">
        <f>'Design Calculator'!F27</f>
        <v>0</v>
      </c>
      <c r="I240" s="58">
        <f>RsEFF</f>
        <v>2.4248302618816684</v>
      </c>
      <c r="J240" s="58">
        <f>'Device Parameters'!E12</f>
        <v>1E-3</v>
      </c>
      <c r="M240" s="128">
        <f>J352*1000</f>
        <v>206.24999999999977</v>
      </c>
      <c r="N240" s="58" t="s">
        <v>8</v>
      </c>
      <c r="O240" s="131">
        <f>MIN(L248:L349)</f>
        <v>0.61538461538461542</v>
      </c>
      <c r="Q240" s="58">
        <f>'Device Parameters'!E30/'Device Parameters'!D30</f>
        <v>1.375</v>
      </c>
      <c r="R240" s="58">
        <f>'Device Parameters'!C30/'Device Parameters'!D30</f>
        <v>0.625</v>
      </c>
    </row>
    <row r="241" spans="1:18">
      <c r="B241" s="128"/>
      <c r="M241" s="128"/>
      <c r="O241" s="131"/>
    </row>
    <row r="242" spans="1:18">
      <c r="B242" s="128"/>
      <c r="D242" s="58" t="s">
        <v>318</v>
      </c>
      <c r="M242" s="128" t="s">
        <v>319</v>
      </c>
      <c r="N242" s="58">
        <f>MIN(M248:M352)</f>
        <v>0.48319999999999991</v>
      </c>
      <c r="O242" s="131" t="s">
        <v>315</v>
      </c>
      <c r="P242" s="58" t="s">
        <v>328</v>
      </c>
      <c r="Q242" s="58">
        <f>MAX(O248:O352)</f>
        <v>11.440000000000001</v>
      </c>
      <c r="R242" s="58" t="s">
        <v>87</v>
      </c>
    </row>
    <row r="243" spans="1:18">
      <c r="B243" s="128"/>
      <c r="M243" s="58" t="s">
        <v>320</v>
      </c>
      <c r="N243" s="58">
        <f>SUM(N248:N352)</f>
        <v>1.1684062499999999</v>
      </c>
      <c r="O243" s="131" t="s">
        <v>321</v>
      </c>
      <c r="P243" s="58" t="s">
        <v>330</v>
      </c>
      <c r="Q243" s="58">
        <f>MAX(P248:P352)</f>
        <v>14.08</v>
      </c>
      <c r="R243" s="58" t="s">
        <v>87</v>
      </c>
    </row>
    <row r="244" spans="1:18">
      <c r="P244" s="58" t="s">
        <v>329</v>
      </c>
      <c r="Q244" s="58">
        <f>MAX(Q248:Q352)</f>
        <v>8.8000000000000007</v>
      </c>
      <c r="R244" s="58" t="s">
        <v>87</v>
      </c>
    </row>
    <row r="245" spans="1:18">
      <c r="A245" s="129" t="s">
        <v>159</v>
      </c>
      <c r="B245" s="130" t="s">
        <v>132</v>
      </c>
      <c r="C245" s="130" t="s">
        <v>133</v>
      </c>
      <c r="D245" s="130" t="s">
        <v>138</v>
      </c>
      <c r="E245" s="130" t="s">
        <v>309</v>
      </c>
      <c r="F245" s="130" t="s">
        <v>310</v>
      </c>
      <c r="G245" s="130" t="s">
        <v>283</v>
      </c>
      <c r="H245" s="130" t="s">
        <v>157</v>
      </c>
      <c r="I245" s="130" t="s">
        <v>282</v>
      </c>
      <c r="J245" s="130" t="s">
        <v>143</v>
      </c>
      <c r="K245" s="130" t="s">
        <v>359</v>
      </c>
      <c r="L245" s="129" t="s">
        <v>284</v>
      </c>
      <c r="M245" s="129" t="s">
        <v>322</v>
      </c>
      <c r="N245" s="129" t="s">
        <v>358</v>
      </c>
      <c r="O245" s="129" t="s">
        <v>323</v>
      </c>
      <c r="P245" s="58" t="s">
        <v>324</v>
      </c>
      <c r="Q245" s="58" t="s">
        <v>325</v>
      </c>
    </row>
    <row r="246" spans="1:18">
      <c r="A246" s="129"/>
      <c r="B246" s="130"/>
      <c r="C246" s="130"/>
      <c r="D246" s="130"/>
      <c r="E246" s="130"/>
      <c r="F246" s="130"/>
      <c r="G246" s="130"/>
      <c r="H246" s="130"/>
      <c r="I246" s="130"/>
      <c r="J246" s="130"/>
      <c r="K246" s="160">
        <v>-1</v>
      </c>
      <c r="L246" s="129"/>
      <c r="M246" s="129"/>
      <c r="N246" s="129"/>
      <c r="O246" s="58">
        <v>0</v>
      </c>
    </row>
    <row r="247" spans="1:18">
      <c r="A247" s="129"/>
      <c r="B247" s="130"/>
      <c r="C247" s="130"/>
      <c r="D247" s="130"/>
      <c r="E247" s="130"/>
      <c r="F247" s="130"/>
      <c r="G247" s="130"/>
      <c r="H247" s="130"/>
      <c r="I247" s="130"/>
      <c r="J247" s="130"/>
      <c r="K247" s="64">
        <v>-0.01</v>
      </c>
      <c r="L247" s="129"/>
      <c r="M247" s="129"/>
      <c r="N247" s="129"/>
      <c r="O247" s="58">
        <v>0</v>
      </c>
    </row>
    <row r="248" spans="1:18">
      <c r="A248" s="58">
        <f t="shared" ref="A248:A311" si="97">VINMAX</f>
        <v>22</v>
      </c>
      <c r="B248" s="61">
        <f t="shared" ref="B248:B279" si="98">VINMAX*((ROW()-248)/104)</f>
        <v>0</v>
      </c>
      <c r="C248" s="59">
        <f>IF(B248&gt;=$H$240,IF($D$240="CC", $G$240, B248/$G$240), 0)</f>
        <v>0.2</v>
      </c>
      <c r="D248" s="64">
        <f>B240</f>
        <v>72.582399999999993</v>
      </c>
      <c r="E248" s="57">
        <f>MIN(D248/(A248-B248),$C$240)</f>
        <v>3.2991999999999995</v>
      </c>
      <c r="F248" s="59">
        <f>Equations!$H$69+C248</f>
        <v>0.52</v>
      </c>
      <c r="G248" s="57">
        <f>IF($F$240="Soft Start", F248, E248)</f>
        <v>0.52</v>
      </c>
      <c r="H248" s="59">
        <f t="shared" ref="H248:H311" si="99">G248-C248</f>
        <v>0.32</v>
      </c>
      <c r="I248" s="60">
        <f>(COUTMAX/1000000)*(B248)/H248</f>
        <v>0</v>
      </c>
      <c r="J248" s="60">
        <f>I248</f>
        <v>0</v>
      </c>
      <c r="K248" s="160">
        <f>J248*1000</f>
        <v>0</v>
      </c>
      <c r="L248" s="131">
        <f>H248/G248</f>
        <v>0.61538461538461542</v>
      </c>
      <c r="M248" s="58">
        <f t="shared" ref="M248:M311" si="100">1/COUTMAX*(E248/2-C248)*1000</f>
        <v>0.48319999999999991</v>
      </c>
      <c r="N248" s="58">
        <f>I248*G248*(A248-B248)</f>
        <v>0</v>
      </c>
      <c r="O248" s="58">
        <f>G248*(A248-B248)</f>
        <v>11.440000000000001</v>
      </c>
      <c r="P248" s="58">
        <f>(A248-B248)*(Equations!$H$69*$Q$240+C248)</f>
        <v>14.08</v>
      </c>
      <c r="Q248" s="58">
        <f>(A248-B248)*(Equations!$H$69*$R$240+C248)</f>
        <v>8.8000000000000007</v>
      </c>
    </row>
    <row r="249" spans="1:18">
      <c r="A249" s="58">
        <f t="shared" si="97"/>
        <v>22</v>
      </c>
      <c r="B249" s="61">
        <f t="shared" si="98"/>
        <v>0.21153846153846156</v>
      </c>
      <c r="C249" s="59">
        <f t="shared" ref="C249:C312" si="101">IF(B249&gt;=$H$240,IF($D$240="CC", $G$240, B249/$G$240), 0)</f>
        <v>0.2</v>
      </c>
      <c r="D249" s="64">
        <f>B240</f>
        <v>72.582399999999993</v>
      </c>
      <c r="E249" s="57">
        <f t="shared" ref="E249:E312" si="102">MIN(D249/(A249-B249),$C$240)</f>
        <v>3.3312310679611645</v>
      </c>
      <c r="F249" s="59">
        <f>Equations!$H$69+C249</f>
        <v>0.52</v>
      </c>
      <c r="G249" s="57">
        <f t="shared" ref="G249:G312" si="103">IF($F$240="Soft Start", F249, E249)</f>
        <v>0.52</v>
      </c>
      <c r="H249" s="59">
        <f t="shared" si="99"/>
        <v>0.32</v>
      </c>
      <c r="I249" s="60">
        <f t="shared" ref="I249:I312" si="104">(COUTMAX/1000000)*(B249-B248)/H249</f>
        <v>1.9831730769230773E-3</v>
      </c>
      <c r="J249" s="60">
        <f>J248+I249</f>
        <v>1.9831730769230773E-3</v>
      </c>
      <c r="K249" s="160">
        <f t="shared" ref="K249:K312" si="105">J249*1000</f>
        <v>1.9831730769230773</v>
      </c>
      <c r="L249" s="131">
        <f t="shared" ref="L249:L312" si="106">H249/G249</f>
        <v>0.61538461538461542</v>
      </c>
      <c r="M249" s="58">
        <f t="shared" si="100"/>
        <v>0.48853851132686077</v>
      </c>
      <c r="N249" s="58">
        <f t="shared" ref="N249" si="107">I249*G249*(A249-B249)</f>
        <v>2.2469350961538469E-2</v>
      </c>
      <c r="O249" s="58">
        <f t="shared" ref="O249:O312" si="108">G249*(A249-B249)</f>
        <v>11.330000000000002</v>
      </c>
      <c r="P249" s="58">
        <f>(A249-B249)*(Equations!$H$69*$Q$240+C249)</f>
        <v>13.944615384615386</v>
      </c>
      <c r="Q249" s="58">
        <f>(A249-B249)*(Equations!$H$69*$R$240+C249)</f>
        <v>8.7153846153846164</v>
      </c>
    </row>
    <row r="250" spans="1:18">
      <c r="A250" s="58">
        <f t="shared" si="97"/>
        <v>22</v>
      </c>
      <c r="B250" s="61">
        <f t="shared" si="98"/>
        <v>0.42307692307692313</v>
      </c>
      <c r="C250" s="59">
        <f t="shared" si="101"/>
        <v>0.2</v>
      </c>
      <c r="D250" s="64">
        <f>B240</f>
        <v>72.582399999999993</v>
      </c>
      <c r="E250" s="57">
        <f t="shared" si="102"/>
        <v>3.3638901960784309</v>
      </c>
      <c r="F250" s="59">
        <f>Equations!$H$69+C250</f>
        <v>0.52</v>
      </c>
      <c r="G250" s="57">
        <f t="shared" si="103"/>
        <v>0.52</v>
      </c>
      <c r="H250" s="59">
        <f t="shared" si="99"/>
        <v>0.32</v>
      </c>
      <c r="I250" s="60">
        <f t="shared" si="104"/>
        <v>1.9831730769230773E-3</v>
      </c>
      <c r="J250" s="60">
        <f t="shared" ref="J250:J313" si="109">J249+I250</f>
        <v>3.9663461538461545E-3</v>
      </c>
      <c r="K250" s="160">
        <f t="shared" si="105"/>
        <v>3.9663461538461546</v>
      </c>
      <c r="L250" s="131">
        <f t="shared" si="106"/>
        <v>0.61538461538461542</v>
      </c>
      <c r="M250" s="58">
        <f t="shared" si="100"/>
        <v>0.49398169934640512</v>
      </c>
      <c r="N250" s="58">
        <f>I250*G250*(A250-B250)</f>
        <v>2.2251201923076929E-2</v>
      </c>
      <c r="O250" s="58">
        <f t="shared" si="108"/>
        <v>11.22</v>
      </c>
      <c r="P250" s="58">
        <f>(A250-B250)*(Equations!$H$69*$Q$240+C250)</f>
        <v>13.809230769230769</v>
      </c>
      <c r="Q250" s="58">
        <f>(A250-B250)*(Equations!$H$69*$R$240+C250)</f>
        <v>8.6307692307692303</v>
      </c>
    </row>
    <row r="251" spans="1:18">
      <c r="A251" s="58">
        <f t="shared" si="97"/>
        <v>22</v>
      </c>
      <c r="B251" s="61">
        <f t="shared" si="98"/>
        <v>0.63461538461538469</v>
      </c>
      <c r="C251" s="59">
        <f t="shared" si="101"/>
        <v>0.2</v>
      </c>
      <c r="D251" s="64">
        <f>B240</f>
        <v>72.582399999999993</v>
      </c>
      <c r="E251" s="57">
        <f t="shared" si="102"/>
        <v>3.3971960396039598</v>
      </c>
      <c r="F251" s="59">
        <f>Equations!$H$69+C251</f>
        <v>0.52</v>
      </c>
      <c r="G251" s="57">
        <f t="shared" si="103"/>
        <v>0.52</v>
      </c>
      <c r="H251" s="59">
        <f t="shared" si="99"/>
        <v>0.32</v>
      </c>
      <c r="I251" s="60">
        <f t="shared" si="104"/>
        <v>1.9831730769230773E-3</v>
      </c>
      <c r="J251" s="60">
        <f t="shared" si="109"/>
        <v>5.9495192307692322E-3</v>
      </c>
      <c r="K251" s="160">
        <f t="shared" si="105"/>
        <v>5.9495192307692326</v>
      </c>
      <c r="L251" s="131">
        <f t="shared" si="106"/>
        <v>0.61538461538461542</v>
      </c>
      <c r="M251" s="58">
        <f t="shared" si="100"/>
        <v>0.49953267326732664</v>
      </c>
      <c r="N251" s="58">
        <f t="shared" ref="N251:N298" si="110">I251*G251*(A251-B251)</f>
        <v>2.2033052884615392E-2</v>
      </c>
      <c r="O251" s="58">
        <f t="shared" si="108"/>
        <v>11.110000000000001</v>
      </c>
      <c r="P251" s="58">
        <f>(A251-B251)*(Equations!$H$69*$Q$240+C251)</f>
        <v>13.673846153846155</v>
      </c>
      <c r="Q251" s="58">
        <f>(A251-B251)*(Equations!$H$69*$R$240+C251)</f>
        <v>8.5461538461538478</v>
      </c>
    </row>
    <row r="252" spans="1:18">
      <c r="A252" s="58">
        <f t="shared" si="97"/>
        <v>22</v>
      </c>
      <c r="B252" s="61">
        <f t="shared" si="98"/>
        <v>0.84615384615384626</v>
      </c>
      <c r="C252" s="59">
        <f t="shared" si="101"/>
        <v>0.2</v>
      </c>
      <c r="D252" s="64">
        <f>B240</f>
        <v>72.582399999999993</v>
      </c>
      <c r="E252" s="57">
        <f t="shared" si="102"/>
        <v>3.4311679999999996</v>
      </c>
      <c r="F252" s="59">
        <f>Equations!$H$69+C252</f>
        <v>0.52</v>
      </c>
      <c r="G252" s="57">
        <f t="shared" si="103"/>
        <v>0.52</v>
      </c>
      <c r="H252" s="59">
        <f t="shared" si="99"/>
        <v>0.32</v>
      </c>
      <c r="I252" s="60">
        <f t="shared" si="104"/>
        <v>1.9831730769230773E-3</v>
      </c>
      <c r="J252" s="60">
        <f t="shared" si="109"/>
        <v>7.932692307692309E-3</v>
      </c>
      <c r="K252" s="160">
        <f t="shared" si="105"/>
        <v>7.9326923076923093</v>
      </c>
      <c r="L252" s="131">
        <f t="shared" si="106"/>
        <v>0.61538461538461542</v>
      </c>
      <c r="M252" s="58">
        <f t="shared" si="100"/>
        <v>0.50519466666666657</v>
      </c>
      <c r="N252" s="58">
        <f t="shared" si="110"/>
        <v>2.1814903846153852E-2</v>
      </c>
      <c r="O252" s="58">
        <f t="shared" si="108"/>
        <v>11</v>
      </c>
      <c r="P252" s="58">
        <f>(A252-B252)*(Equations!$H$69*$Q$240+C252)</f>
        <v>13.538461538461538</v>
      </c>
      <c r="Q252" s="58">
        <f>(A252-B252)*(Equations!$H$69*$R$240+C252)</f>
        <v>8.4615384615384617</v>
      </c>
    </row>
    <row r="253" spans="1:18">
      <c r="A253" s="58">
        <f t="shared" si="97"/>
        <v>22</v>
      </c>
      <c r="B253" s="61">
        <f t="shared" si="98"/>
        <v>1.0576923076923077</v>
      </c>
      <c r="C253" s="59">
        <f t="shared" si="101"/>
        <v>0.2</v>
      </c>
      <c r="D253" s="64">
        <f>B240</f>
        <v>72.582399999999993</v>
      </c>
      <c r="E253" s="57">
        <f t="shared" si="102"/>
        <v>3.4658262626262619</v>
      </c>
      <c r="F253" s="59">
        <f>Equations!$H$69+C253</f>
        <v>0.52</v>
      </c>
      <c r="G253" s="57">
        <f t="shared" si="103"/>
        <v>0.52</v>
      </c>
      <c r="H253" s="59">
        <f t="shared" si="99"/>
        <v>0.32</v>
      </c>
      <c r="I253" s="60">
        <f t="shared" si="104"/>
        <v>1.9831730769230764E-3</v>
      </c>
      <c r="J253" s="60">
        <f t="shared" si="109"/>
        <v>9.9158653846153858E-3</v>
      </c>
      <c r="K253" s="160">
        <f t="shared" si="105"/>
        <v>9.915865384615385</v>
      </c>
      <c r="L253" s="131">
        <f t="shared" si="106"/>
        <v>0.61538461538461542</v>
      </c>
      <c r="M253" s="58">
        <f t="shared" si="100"/>
        <v>0.51097104377104363</v>
      </c>
      <c r="N253" s="58">
        <f t="shared" si="110"/>
        <v>2.1596754807692305E-2</v>
      </c>
      <c r="O253" s="58">
        <f t="shared" si="108"/>
        <v>10.89</v>
      </c>
      <c r="P253" s="58">
        <f>(A253-B253)*(Equations!$H$69*$Q$240+C253)</f>
        <v>13.403076923076924</v>
      </c>
      <c r="Q253" s="58">
        <f>(A253-B253)*(Equations!$H$69*$R$240+C253)</f>
        <v>8.3769230769230774</v>
      </c>
    </row>
    <row r="254" spans="1:18">
      <c r="A254" s="58">
        <f t="shared" si="97"/>
        <v>22</v>
      </c>
      <c r="B254" s="61">
        <f t="shared" si="98"/>
        <v>1.2692307692307694</v>
      </c>
      <c r="C254" s="59">
        <f t="shared" si="101"/>
        <v>0.2</v>
      </c>
      <c r="D254" s="64">
        <f>B240</f>
        <v>72.582399999999993</v>
      </c>
      <c r="E254" s="57">
        <f t="shared" si="102"/>
        <v>3.5011918367346935</v>
      </c>
      <c r="F254" s="59">
        <f>Equations!$H$69+C254</f>
        <v>0.52</v>
      </c>
      <c r="G254" s="57">
        <f t="shared" si="103"/>
        <v>0.52</v>
      </c>
      <c r="H254" s="59">
        <f t="shared" si="99"/>
        <v>0.32</v>
      </c>
      <c r="I254" s="60">
        <f t="shared" si="104"/>
        <v>1.9831730769230781E-3</v>
      </c>
      <c r="J254" s="60">
        <f t="shared" si="109"/>
        <v>1.1899038461538464E-2</v>
      </c>
      <c r="K254" s="160">
        <f t="shared" si="105"/>
        <v>11.899038461538465</v>
      </c>
      <c r="L254" s="131">
        <f t="shared" si="106"/>
        <v>0.61538461538461542</v>
      </c>
      <c r="M254" s="58">
        <f t="shared" si="100"/>
        <v>0.51686530612244896</v>
      </c>
      <c r="N254" s="58">
        <f t="shared" si="110"/>
        <v>2.1378605769230782E-2</v>
      </c>
      <c r="O254" s="58">
        <f t="shared" si="108"/>
        <v>10.78</v>
      </c>
      <c r="P254" s="58">
        <f>(A254-B254)*(Equations!$H$69*$Q$240+C254)</f>
        <v>13.267692307692307</v>
      </c>
      <c r="Q254" s="58">
        <f>(A254-B254)*(Equations!$H$69*$R$240+C254)</f>
        <v>8.292307692307693</v>
      </c>
    </row>
    <row r="255" spans="1:18">
      <c r="A255" s="58">
        <f t="shared" si="97"/>
        <v>22</v>
      </c>
      <c r="B255" s="61">
        <f t="shared" si="98"/>
        <v>1.4807692307692306</v>
      </c>
      <c r="C255" s="59">
        <f t="shared" si="101"/>
        <v>0.2</v>
      </c>
      <c r="D255" s="64">
        <f>B240</f>
        <v>72.582399999999993</v>
      </c>
      <c r="E255" s="57">
        <f t="shared" si="102"/>
        <v>3.5372865979381438</v>
      </c>
      <c r="F255" s="59">
        <f>Equations!$H$69+C255</f>
        <v>0.52</v>
      </c>
      <c r="G255" s="57">
        <f t="shared" si="103"/>
        <v>0.52</v>
      </c>
      <c r="H255" s="59">
        <f t="shared" si="99"/>
        <v>0.32</v>
      </c>
      <c r="I255" s="60">
        <f t="shared" si="104"/>
        <v>1.9831730769230742E-3</v>
      </c>
      <c r="J255" s="60">
        <f t="shared" si="109"/>
        <v>1.3882211538461538E-2</v>
      </c>
      <c r="K255" s="160">
        <f t="shared" si="105"/>
        <v>13.882211538461538</v>
      </c>
      <c r="L255" s="131">
        <f t="shared" si="106"/>
        <v>0.61538461538461542</v>
      </c>
      <c r="M255" s="58">
        <f t="shared" si="100"/>
        <v>0.52288109965635732</v>
      </c>
      <c r="N255" s="58">
        <f t="shared" si="110"/>
        <v>2.1160456730769203E-2</v>
      </c>
      <c r="O255" s="58">
        <f t="shared" si="108"/>
        <v>10.67</v>
      </c>
      <c r="P255" s="58">
        <f>(A255-B255)*(Equations!$H$69*$Q$240+C255)</f>
        <v>13.132307692307693</v>
      </c>
      <c r="Q255" s="58">
        <f>(A255-B255)*(Equations!$H$69*$R$240+C255)</f>
        <v>8.2076923076923087</v>
      </c>
    </row>
    <row r="256" spans="1:18">
      <c r="A256" s="58">
        <f t="shared" si="97"/>
        <v>22</v>
      </c>
      <c r="B256" s="61">
        <f t="shared" si="98"/>
        <v>1.6923076923076925</v>
      </c>
      <c r="C256" s="59">
        <f t="shared" si="101"/>
        <v>0.2</v>
      </c>
      <c r="D256" s="64">
        <f>B240</f>
        <v>72.582399999999993</v>
      </c>
      <c r="E256" s="57">
        <f t="shared" si="102"/>
        <v>3.5741333333333332</v>
      </c>
      <c r="F256" s="59">
        <f>Equations!$H$69+C256</f>
        <v>0.52</v>
      </c>
      <c r="G256" s="57">
        <f t="shared" si="103"/>
        <v>0.52</v>
      </c>
      <c r="H256" s="59">
        <f t="shared" si="99"/>
        <v>0.32</v>
      </c>
      <c r="I256" s="60">
        <f t="shared" si="104"/>
        <v>1.9831730769230803E-3</v>
      </c>
      <c r="J256" s="60">
        <f t="shared" si="109"/>
        <v>1.5865384615384618E-2</v>
      </c>
      <c r="K256" s="160">
        <f t="shared" si="105"/>
        <v>15.865384615384619</v>
      </c>
      <c r="L256" s="131">
        <f t="shared" si="106"/>
        <v>0.61538461538461542</v>
      </c>
      <c r="M256" s="58">
        <f t="shared" si="100"/>
        <v>0.52902222222222217</v>
      </c>
      <c r="N256" s="58">
        <f t="shared" si="110"/>
        <v>2.0942307692307729E-2</v>
      </c>
      <c r="O256" s="58">
        <f t="shared" si="108"/>
        <v>10.56</v>
      </c>
      <c r="P256" s="58">
        <f>(A256-B256)*(Equations!$H$69*$Q$240+C256)</f>
        <v>12.996923076923077</v>
      </c>
      <c r="Q256" s="58">
        <f>(A256-B256)*(Equations!$H$69*$R$240+C256)</f>
        <v>8.1230769230769226</v>
      </c>
    </row>
    <row r="257" spans="1:17">
      <c r="A257" s="58">
        <f t="shared" si="97"/>
        <v>22</v>
      </c>
      <c r="B257" s="61">
        <f t="shared" si="98"/>
        <v>1.9038461538461537</v>
      </c>
      <c r="C257" s="59">
        <f t="shared" si="101"/>
        <v>0.2</v>
      </c>
      <c r="D257" s="64">
        <f>B240</f>
        <v>72.582399999999993</v>
      </c>
      <c r="E257" s="57">
        <f t="shared" si="102"/>
        <v>3.6117557894736838</v>
      </c>
      <c r="F257" s="59">
        <f>Equations!$H$69+C257</f>
        <v>0.52</v>
      </c>
      <c r="G257" s="57">
        <f t="shared" si="103"/>
        <v>0.52</v>
      </c>
      <c r="H257" s="59">
        <f t="shared" si="99"/>
        <v>0.32</v>
      </c>
      <c r="I257" s="60">
        <f t="shared" si="104"/>
        <v>1.9831730769230742E-3</v>
      </c>
      <c r="J257" s="60">
        <f t="shared" si="109"/>
        <v>1.7848557692307691E-2</v>
      </c>
      <c r="K257" s="160">
        <f t="shared" si="105"/>
        <v>17.84855769230769</v>
      </c>
      <c r="L257" s="131">
        <f t="shared" si="106"/>
        <v>0.61538461538461542</v>
      </c>
      <c r="M257" s="58">
        <f t="shared" si="100"/>
        <v>0.53529263157894724</v>
      </c>
      <c r="N257" s="58">
        <f t="shared" si="110"/>
        <v>2.0724158653846126E-2</v>
      </c>
      <c r="O257" s="58">
        <f t="shared" si="108"/>
        <v>10.450000000000001</v>
      </c>
      <c r="P257" s="58">
        <f>(A257-B257)*(Equations!$H$69*$Q$240+C257)</f>
        <v>12.861538461538462</v>
      </c>
      <c r="Q257" s="58">
        <f>(A257-B257)*(Equations!$H$69*$R$240+C257)</f>
        <v>8.0384615384615383</v>
      </c>
    </row>
    <row r="258" spans="1:17">
      <c r="A258" s="58">
        <f t="shared" si="97"/>
        <v>22</v>
      </c>
      <c r="B258" s="61">
        <f t="shared" si="98"/>
        <v>2.1153846153846154</v>
      </c>
      <c r="C258" s="59">
        <f t="shared" si="101"/>
        <v>0.2</v>
      </c>
      <c r="D258" s="64">
        <f>B240</f>
        <v>72.582399999999993</v>
      </c>
      <c r="E258" s="57">
        <f t="shared" si="102"/>
        <v>3.6501787234042551</v>
      </c>
      <c r="F258" s="59">
        <f>Equations!$H$69+C258</f>
        <v>0.52</v>
      </c>
      <c r="G258" s="57">
        <f t="shared" si="103"/>
        <v>0.52</v>
      </c>
      <c r="H258" s="59">
        <f t="shared" si="99"/>
        <v>0.32</v>
      </c>
      <c r="I258" s="60">
        <f t="shared" si="104"/>
        <v>1.9831730769230781E-3</v>
      </c>
      <c r="J258" s="60">
        <f t="shared" si="109"/>
        <v>1.9831730769230768E-2</v>
      </c>
      <c r="K258" s="160">
        <f t="shared" si="105"/>
        <v>19.831730769230766</v>
      </c>
      <c r="L258" s="131">
        <f t="shared" si="106"/>
        <v>0.61538461538461542</v>
      </c>
      <c r="M258" s="58">
        <f t="shared" si="100"/>
        <v>0.5416964539007092</v>
      </c>
      <c r="N258" s="58">
        <f t="shared" si="110"/>
        <v>2.0506009615384627E-2</v>
      </c>
      <c r="O258" s="58">
        <f t="shared" si="108"/>
        <v>10.34</v>
      </c>
      <c r="P258" s="58">
        <f>(A258-B258)*(Equations!$H$69*$Q$240+C258)</f>
        <v>12.726153846153846</v>
      </c>
      <c r="Q258" s="58">
        <f>(A258-B258)*(Equations!$H$69*$R$240+C258)</f>
        <v>7.953846153846154</v>
      </c>
    </row>
    <row r="259" spans="1:17">
      <c r="A259" s="58">
        <f t="shared" si="97"/>
        <v>22</v>
      </c>
      <c r="B259" s="61">
        <f t="shared" si="98"/>
        <v>2.3269230769230771</v>
      </c>
      <c r="C259" s="59">
        <f t="shared" si="101"/>
        <v>0.2</v>
      </c>
      <c r="D259" s="64">
        <f>B240</f>
        <v>72.582399999999993</v>
      </c>
      <c r="E259" s="57">
        <f t="shared" si="102"/>
        <v>3.6894279569892467</v>
      </c>
      <c r="F259" s="59">
        <f>Equations!$H$69+C259</f>
        <v>0.52</v>
      </c>
      <c r="G259" s="57">
        <f t="shared" si="103"/>
        <v>0.52</v>
      </c>
      <c r="H259" s="59">
        <f t="shared" si="99"/>
        <v>0.32</v>
      </c>
      <c r="I259" s="60">
        <f t="shared" si="104"/>
        <v>1.9831730769230781E-3</v>
      </c>
      <c r="J259" s="60">
        <f t="shared" si="109"/>
        <v>2.1814903846153845E-2</v>
      </c>
      <c r="K259" s="160">
        <f t="shared" si="105"/>
        <v>21.814903846153847</v>
      </c>
      <c r="L259" s="131">
        <f t="shared" si="106"/>
        <v>0.61538461538461542</v>
      </c>
      <c r="M259" s="58">
        <f t="shared" si="100"/>
        <v>0.54823799283154107</v>
      </c>
      <c r="N259" s="58">
        <f t="shared" si="110"/>
        <v>2.028786057692309E-2</v>
      </c>
      <c r="O259" s="58">
        <f t="shared" si="108"/>
        <v>10.23</v>
      </c>
      <c r="P259" s="58">
        <f>(A259-B259)*(Equations!$H$69*$Q$240+C259)</f>
        <v>12.590769230769231</v>
      </c>
      <c r="Q259" s="58">
        <f>(A259-B259)*(Equations!$H$69*$R$240+C259)</f>
        <v>7.8692307692307697</v>
      </c>
    </row>
    <row r="260" spans="1:17">
      <c r="A260" s="58">
        <f t="shared" si="97"/>
        <v>22</v>
      </c>
      <c r="B260" s="61">
        <f t="shared" si="98"/>
        <v>2.5384615384615388</v>
      </c>
      <c r="C260" s="59">
        <f t="shared" si="101"/>
        <v>0.2</v>
      </c>
      <c r="D260" s="64">
        <f>B240</f>
        <v>72.582399999999993</v>
      </c>
      <c r="E260" s="57">
        <f t="shared" si="102"/>
        <v>3.7295304347826086</v>
      </c>
      <c r="F260" s="59">
        <f>Equations!$H$69+C260</f>
        <v>0.52</v>
      </c>
      <c r="G260" s="57">
        <f t="shared" si="103"/>
        <v>0.52</v>
      </c>
      <c r="H260" s="59">
        <f t="shared" si="99"/>
        <v>0.32</v>
      </c>
      <c r="I260" s="60">
        <f t="shared" si="104"/>
        <v>1.9831730769230781E-3</v>
      </c>
      <c r="J260" s="60">
        <f t="shared" si="109"/>
        <v>2.3798076923076922E-2</v>
      </c>
      <c r="K260" s="160">
        <f t="shared" si="105"/>
        <v>23.798076923076923</v>
      </c>
      <c r="L260" s="131">
        <f t="shared" si="106"/>
        <v>0.61538461538461542</v>
      </c>
      <c r="M260" s="58">
        <f t="shared" si="100"/>
        <v>0.55492173913043485</v>
      </c>
      <c r="N260" s="58">
        <f t="shared" si="110"/>
        <v>2.006971153846155E-2</v>
      </c>
      <c r="O260" s="58">
        <f t="shared" si="108"/>
        <v>10.119999999999999</v>
      </c>
      <c r="P260" s="58">
        <f>(A260-B260)*(Equations!$H$69*$Q$240+C260)</f>
        <v>12.455384615384615</v>
      </c>
      <c r="Q260" s="58">
        <f>(A260-B260)*(Equations!$H$69*$R$240+C260)</f>
        <v>7.7846153846153845</v>
      </c>
    </row>
    <row r="261" spans="1:17">
      <c r="A261" s="58">
        <f t="shared" si="97"/>
        <v>22</v>
      </c>
      <c r="B261" s="61">
        <f t="shared" si="98"/>
        <v>2.75</v>
      </c>
      <c r="C261" s="59">
        <f t="shared" si="101"/>
        <v>0.2</v>
      </c>
      <c r="D261" s="64">
        <f>B240</f>
        <v>72.582399999999993</v>
      </c>
      <c r="E261" s="57">
        <f t="shared" si="102"/>
        <v>3.7705142857142855</v>
      </c>
      <c r="F261" s="59">
        <f>Equations!$H$69+C261</f>
        <v>0.52</v>
      </c>
      <c r="G261" s="57">
        <f t="shared" si="103"/>
        <v>0.52</v>
      </c>
      <c r="H261" s="59">
        <f t="shared" si="99"/>
        <v>0.32</v>
      </c>
      <c r="I261" s="60">
        <f t="shared" si="104"/>
        <v>1.9831730769230742E-3</v>
      </c>
      <c r="J261" s="60">
        <f t="shared" si="109"/>
        <v>2.5781249999999995E-2</v>
      </c>
      <c r="K261" s="160">
        <f t="shared" si="105"/>
        <v>25.781249999999996</v>
      </c>
      <c r="L261" s="131">
        <f t="shared" si="106"/>
        <v>0.61538461538461542</v>
      </c>
      <c r="M261" s="58">
        <f t="shared" si="100"/>
        <v>0.56175238095238089</v>
      </c>
      <c r="N261" s="58">
        <f t="shared" si="110"/>
        <v>1.9851562499999972E-2</v>
      </c>
      <c r="O261" s="58">
        <f t="shared" si="108"/>
        <v>10.01</v>
      </c>
      <c r="P261" s="58">
        <f>(A261-B261)*(Equations!$H$69*$Q$240+C261)</f>
        <v>12.32</v>
      </c>
      <c r="Q261" s="58">
        <f>(A261-B261)*(Equations!$H$69*$R$240+C261)</f>
        <v>7.7</v>
      </c>
    </row>
    <row r="262" spans="1:17">
      <c r="A262" s="58">
        <f t="shared" si="97"/>
        <v>22</v>
      </c>
      <c r="B262" s="61">
        <f t="shared" si="98"/>
        <v>2.9615384615384612</v>
      </c>
      <c r="C262" s="59">
        <f t="shared" si="101"/>
        <v>0.2</v>
      </c>
      <c r="D262" s="64">
        <f>B240</f>
        <v>72.582399999999993</v>
      </c>
      <c r="E262" s="57">
        <f t="shared" si="102"/>
        <v>3.8124088888888883</v>
      </c>
      <c r="F262" s="59">
        <f>Equations!$H$69+C262</f>
        <v>0.52</v>
      </c>
      <c r="G262" s="57">
        <f t="shared" si="103"/>
        <v>0.52</v>
      </c>
      <c r="H262" s="59">
        <f t="shared" si="99"/>
        <v>0.32</v>
      </c>
      <c r="I262" s="60">
        <f t="shared" si="104"/>
        <v>1.9831730769230742E-3</v>
      </c>
      <c r="J262" s="60">
        <f t="shared" si="109"/>
        <v>2.7764423076923068E-2</v>
      </c>
      <c r="K262" s="160">
        <f t="shared" si="105"/>
        <v>27.76442307692307</v>
      </c>
      <c r="L262" s="131">
        <f t="shared" si="106"/>
        <v>0.61538461538461542</v>
      </c>
      <c r="M262" s="58">
        <f t="shared" si="100"/>
        <v>0.56873481481481469</v>
      </c>
      <c r="N262" s="58">
        <f t="shared" si="110"/>
        <v>1.9633413461538435E-2</v>
      </c>
      <c r="O262" s="58">
        <f t="shared" si="108"/>
        <v>9.9</v>
      </c>
      <c r="P262" s="58">
        <f>(A262-B262)*(Equations!$H$69*$Q$240+C262)</f>
        <v>12.184615384615386</v>
      </c>
      <c r="Q262" s="58">
        <f>(A262-B262)*(Equations!$H$69*$R$240+C262)</f>
        <v>7.6153846153846168</v>
      </c>
    </row>
    <row r="263" spans="1:17">
      <c r="A263" s="58">
        <f t="shared" si="97"/>
        <v>22</v>
      </c>
      <c r="B263" s="61">
        <f t="shared" si="98"/>
        <v>3.1730769230769229</v>
      </c>
      <c r="C263" s="59">
        <f t="shared" si="101"/>
        <v>0.2</v>
      </c>
      <c r="D263" s="64">
        <f>B240</f>
        <v>72.582399999999993</v>
      </c>
      <c r="E263" s="57">
        <f t="shared" si="102"/>
        <v>3.8552449438202245</v>
      </c>
      <c r="F263" s="59">
        <f>Equations!$H$69+C263</f>
        <v>0.52</v>
      </c>
      <c r="G263" s="57">
        <f t="shared" si="103"/>
        <v>0.52</v>
      </c>
      <c r="H263" s="59">
        <f t="shared" si="99"/>
        <v>0.32</v>
      </c>
      <c r="I263" s="60">
        <f t="shared" si="104"/>
        <v>1.9831730769230781E-3</v>
      </c>
      <c r="J263" s="60">
        <f t="shared" si="109"/>
        <v>2.9747596153846145E-2</v>
      </c>
      <c r="K263" s="160">
        <f t="shared" si="105"/>
        <v>29.747596153846146</v>
      </c>
      <c r="L263" s="131">
        <f t="shared" si="106"/>
        <v>0.61538461538461542</v>
      </c>
      <c r="M263" s="58">
        <f t="shared" si="100"/>
        <v>0.57587415730337077</v>
      </c>
      <c r="N263" s="58">
        <f t="shared" si="110"/>
        <v>1.9415264423076936E-2</v>
      </c>
      <c r="O263" s="58">
        <f t="shared" si="108"/>
        <v>9.7900000000000009</v>
      </c>
      <c r="P263" s="58">
        <f>(A263-B263)*(Equations!$H$69*$Q$240+C263)</f>
        <v>12.049230769230769</v>
      </c>
      <c r="Q263" s="58">
        <f>(A263-B263)*(Equations!$H$69*$R$240+C263)</f>
        <v>7.5307692307692307</v>
      </c>
    </row>
    <row r="264" spans="1:17">
      <c r="A264" s="58">
        <f t="shared" si="97"/>
        <v>22</v>
      </c>
      <c r="B264" s="61">
        <f t="shared" si="98"/>
        <v>3.384615384615385</v>
      </c>
      <c r="C264" s="59">
        <f t="shared" si="101"/>
        <v>0.2</v>
      </c>
      <c r="D264" s="64">
        <f>B240</f>
        <v>72.582399999999993</v>
      </c>
      <c r="E264" s="57">
        <f t="shared" si="102"/>
        <v>3.8990545454545456</v>
      </c>
      <c r="F264" s="59">
        <f>Equations!$H$69+C264</f>
        <v>0.52</v>
      </c>
      <c r="G264" s="57">
        <f t="shared" si="103"/>
        <v>0.52</v>
      </c>
      <c r="H264" s="59">
        <f t="shared" si="99"/>
        <v>0.32</v>
      </c>
      <c r="I264" s="60">
        <f t="shared" si="104"/>
        <v>1.9831730769230825E-3</v>
      </c>
      <c r="J264" s="60">
        <f t="shared" si="109"/>
        <v>3.1730769230769229E-2</v>
      </c>
      <c r="K264" s="160">
        <f t="shared" si="105"/>
        <v>31.73076923076923</v>
      </c>
      <c r="L264" s="131">
        <f t="shared" si="106"/>
        <v>0.61538461538461542</v>
      </c>
      <c r="M264" s="58">
        <f t="shared" si="100"/>
        <v>0.58317575757575757</v>
      </c>
      <c r="N264" s="58">
        <f t="shared" si="110"/>
        <v>1.9197115384615437E-2</v>
      </c>
      <c r="O264" s="58">
        <f t="shared" si="108"/>
        <v>9.68</v>
      </c>
      <c r="P264" s="58">
        <f>(A264-B264)*(Equations!$H$69*$Q$240+C264)</f>
        <v>11.913846153846153</v>
      </c>
      <c r="Q264" s="58">
        <f>(A264-B264)*(Equations!$H$69*$R$240+C264)</f>
        <v>7.4461538461538455</v>
      </c>
    </row>
    <row r="265" spans="1:17">
      <c r="A265" s="58">
        <f t="shared" si="97"/>
        <v>22</v>
      </c>
      <c r="B265" s="61">
        <f t="shared" si="98"/>
        <v>3.5961538461538463</v>
      </c>
      <c r="C265" s="59">
        <f t="shared" si="101"/>
        <v>0.2</v>
      </c>
      <c r="D265" s="64">
        <f>B240</f>
        <v>72.582399999999993</v>
      </c>
      <c r="E265" s="57">
        <f t="shared" si="102"/>
        <v>3.9438712643678158</v>
      </c>
      <c r="F265" s="59">
        <f>Equations!$H$69+C265</f>
        <v>0.52</v>
      </c>
      <c r="G265" s="57">
        <f t="shared" si="103"/>
        <v>0.52</v>
      </c>
      <c r="H265" s="59">
        <f t="shared" si="99"/>
        <v>0.32</v>
      </c>
      <c r="I265" s="60">
        <f t="shared" si="104"/>
        <v>1.9831730769230742E-3</v>
      </c>
      <c r="J265" s="60">
        <f t="shared" si="109"/>
        <v>3.3713942307692306E-2</v>
      </c>
      <c r="K265" s="160">
        <f t="shared" si="105"/>
        <v>33.713942307692307</v>
      </c>
      <c r="L265" s="131">
        <f t="shared" si="106"/>
        <v>0.61538461538461542</v>
      </c>
      <c r="M265" s="58">
        <f t="shared" si="100"/>
        <v>0.59064521072796927</v>
      </c>
      <c r="N265" s="58">
        <f t="shared" si="110"/>
        <v>1.8978966346153817E-2</v>
      </c>
      <c r="O265" s="58">
        <f t="shared" si="108"/>
        <v>9.57</v>
      </c>
      <c r="P265" s="58">
        <f>(A265-B265)*(Equations!$H$69*$Q$240+C265)</f>
        <v>11.778461538461539</v>
      </c>
      <c r="Q265" s="58">
        <f>(A265-B265)*(Equations!$H$69*$R$240+C265)</f>
        <v>7.361538461538462</v>
      </c>
    </row>
    <row r="266" spans="1:17">
      <c r="A266" s="58">
        <f t="shared" si="97"/>
        <v>22</v>
      </c>
      <c r="B266" s="61">
        <f t="shared" si="98"/>
        <v>3.8076923076923075</v>
      </c>
      <c r="C266" s="59">
        <f t="shared" si="101"/>
        <v>0.2</v>
      </c>
      <c r="D266" s="64">
        <f>B240</f>
        <v>72.582399999999993</v>
      </c>
      <c r="E266" s="57">
        <f t="shared" si="102"/>
        <v>3.9897302325581387</v>
      </c>
      <c r="F266" s="59">
        <f>Equations!$H$69+C266</f>
        <v>0.52</v>
      </c>
      <c r="G266" s="57">
        <f t="shared" si="103"/>
        <v>0.52</v>
      </c>
      <c r="H266" s="59">
        <f t="shared" si="99"/>
        <v>0.32</v>
      </c>
      <c r="I266" s="60">
        <f t="shared" si="104"/>
        <v>1.9831730769230742E-3</v>
      </c>
      <c r="J266" s="60">
        <f t="shared" si="109"/>
        <v>3.5697115384615383E-2</v>
      </c>
      <c r="K266" s="160">
        <f t="shared" si="105"/>
        <v>35.69711538461538</v>
      </c>
      <c r="L266" s="131">
        <f t="shared" si="106"/>
        <v>0.61538461538461542</v>
      </c>
      <c r="M266" s="58">
        <f t="shared" si="100"/>
        <v>0.5982883720930231</v>
      </c>
      <c r="N266" s="58">
        <f t="shared" si="110"/>
        <v>1.876081730769228E-2</v>
      </c>
      <c r="O266" s="58">
        <f t="shared" si="108"/>
        <v>9.4600000000000009</v>
      </c>
      <c r="P266" s="58">
        <f>(A266-B266)*(Equations!$H$69*$Q$240+C266)</f>
        <v>11.643076923076924</v>
      </c>
      <c r="Q266" s="58">
        <f>(A266-B266)*(Equations!$H$69*$R$240+C266)</f>
        <v>7.2769230769230777</v>
      </c>
    </row>
    <row r="267" spans="1:17">
      <c r="A267" s="58">
        <f t="shared" si="97"/>
        <v>22</v>
      </c>
      <c r="B267" s="61">
        <f t="shared" si="98"/>
        <v>4.0192307692307692</v>
      </c>
      <c r="C267" s="59">
        <f t="shared" si="101"/>
        <v>0.2</v>
      </c>
      <c r="D267" s="64">
        <f>B240</f>
        <v>72.582399999999993</v>
      </c>
      <c r="E267" s="57">
        <f t="shared" si="102"/>
        <v>4.0366682352941172</v>
      </c>
      <c r="F267" s="59">
        <f>Equations!$H$69+C267</f>
        <v>0.52</v>
      </c>
      <c r="G267" s="57">
        <f t="shared" si="103"/>
        <v>0.52</v>
      </c>
      <c r="H267" s="59">
        <f t="shared" si="99"/>
        <v>0.32</v>
      </c>
      <c r="I267" s="60">
        <f t="shared" si="104"/>
        <v>1.9831730769230781E-3</v>
      </c>
      <c r="J267" s="60">
        <f t="shared" si="109"/>
        <v>3.768028846153846E-2</v>
      </c>
      <c r="K267" s="160">
        <f t="shared" si="105"/>
        <v>37.68028846153846</v>
      </c>
      <c r="L267" s="131">
        <f t="shared" si="106"/>
        <v>0.61538461538461542</v>
      </c>
      <c r="M267" s="58">
        <f t="shared" si="100"/>
        <v>0.60611137254901948</v>
      </c>
      <c r="N267" s="58">
        <f t="shared" si="110"/>
        <v>1.8542668269230782E-2</v>
      </c>
      <c r="O267" s="58">
        <f t="shared" si="108"/>
        <v>9.35</v>
      </c>
      <c r="P267" s="58">
        <f>(A267-B267)*(Equations!$H$69*$Q$240+C267)</f>
        <v>11.507692307692308</v>
      </c>
      <c r="Q267" s="58">
        <f>(A267-B267)*(Equations!$H$69*$R$240+C267)</f>
        <v>7.1923076923076925</v>
      </c>
    </row>
    <row r="268" spans="1:17">
      <c r="A268" s="58">
        <f t="shared" si="97"/>
        <v>22</v>
      </c>
      <c r="B268" s="61">
        <f t="shared" si="98"/>
        <v>4.2307692307692308</v>
      </c>
      <c r="C268" s="59">
        <f t="shared" si="101"/>
        <v>0.2</v>
      </c>
      <c r="D268" s="64">
        <f>B240</f>
        <v>72.582399999999993</v>
      </c>
      <c r="E268" s="57">
        <f t="shared" si="102"/>
        <v>4.0847238095238092</v>
      </c>
      <c r="F268" s="59">
        <f>Equations!$H$69+C268</f>
        <v>0.52</v>
      </c>
      <c r="G268" s="57">
        <f t="shared" si="103"/>
        <v>0.52</v>
      </c>
      <c r="H268" s="59">
        <f t="shared" si="99"/>
        <v>0.32</v>
      </c>
      <c r="I268" s="60">
        <f t="shared" si="104"/>
        <v>1.9831730769230781E-3</v>
      </c>
      <c r="J268" s="60">
        <f t="shared" si="109"/>
        <v>3.9663461538461536E-2</v>
      </c>
      <c r="K268" s="160">
        <f t="shared" si="105"/>
        <v>39.663461538461533</v>
      </c>
      <c r="L268" s="131">
        <f t="shared" si="106"/>
        <v>0.61538461538461542</v>
      </c>
      <c r="M268" s="58">
        <f t="shared" si="100"/>
        <v>0.61412063492063484</v>
      </c>
      <c r="N268" s="58">
        <f t="shared" si="110"/>
        <v>1.8324519230769245E-2</v>
      </c>
      <c r="O268" s="58">
        <f t="shared" si="108"/>
        <v>9.24</v>
      </c>
      <c r="P268" s="58">
        <f>(A268-B268)*(Equations!$H$69*$Q$240+C268)</f>
        <v>11.372307692307693</v>
      </c>
      <c r="Q268" s="58">
        <f>(A268-B268)*(Equations!$H$69*$R$240+C268)</f>
        <v>7.1076923076923082</v>
      </c>
    </row>
    <row r="269" spans="1:17">
      <c r="A269" s="58">
        <f t="shared" si="97"/>
        <v>22</v>
      </c>
      <c r="B269" s="61">
        <f t="shared" si="98"/>
        <v>4.4423076923076925</v>
      </c>
      <c r="C269" s="59">
        <f t="shared" si="101"/>
        <v>0.2</v>
      </c>
      <c r="D269" s="64">
        <f>B240</f>
        <v>72.582399999999993</v>
      </c>
      <c r="E269" s="57">
        <f t="shared" si="102"/>
        <v>4.1339373493975904</v>
      </c>
      <c r="F269" s="59">
        <f>Equations!$H$69+C269</f>
        <v>0.52</v>
      </c>
      <c r="G269" s="57">
        <f t="shared" si="103"/>
        <v>0.52</v>
      </c>
      <c r="H269" s="59">
        <f t="shared" si="99"/>
        <v>0.32</v>
      </c>
      <c r="I269" s="60">
        <f t="shared" si="104"/>
        <v>1.9831730769230781E-3</v>
      </c>
      <c r="J269" s="60">
        <f t="shared" si="109"/>
        <v>4.1646634615384613E-2</v>
      </c>
      <c r="K269" s="160">
        <f t="shared" si="105"/>
        <v>41.646634615384613</v>
      </c>
      <c r="L269" s="131">
        <f t="shared" si="106"/>
        <v>0.61538461538461542</v>
      </c>
      <c r="M269" s="58">
        <f t="shared" si="100"/>
        <v>0.62232289156626508</v>
      </c>
      <c r="N269" s="58">
        <f t="shared" si="110"/>
        <v>1.8106370192307705E-2</v>
      </c>
      <c r="O269" s="58">
        <f t="shared" si="108"/>
        <v>9.129999999999999</v>
      </c>
      <c r="P269" s="58">
        <f>(A269-B269)*(Equations!$H$69*$Q$240+C269)</f>
        <v>11.236923076923077</v>
      </c>
      <c r="Q269" s="58">
        <f>(A269-B269)*(Equations!$H$69*$R$240+C269)</f>
        <v>7.023076923076923</v>
      </c>
    </row>
    <row r="270" spans="1:17">
      <c r="A270" s="58">
        <f t="shared" si="97"/>
        <v>22</v>
      </c>
      <c r="B270" s="61">
        <f t="shared" si="98"/>
        <v>4.6538461538461542</v>
      </c>
      <c r="C270" s="59">
        <f t="shared" si="101"/>
        <v>0.2</v>
      </c>
      <c r="D270" s="64">
        <f>B240</f>
        <v>72.582399999999993</v>
      </c>
      <c r="E270" s="57">
        <f t="shared" si="102"/>
        <v>4.1843512195121946</v>
      </c>
      <c r="F270" s="59">
        <f>Equations!$H$69+C270</f>
        <v>0.52</v>
      </c>
      <c r="G270" s="57">
        <f t="shared" si="103"/>
        <v>0.52</v>
      </c>
      <c r="H270" s="59">
        <f t="shared" si="99"/>
        <v>0.32</v>
      </c>
      <c r="I270" s="60">
        <f t="shared" si="104"/>
        <v>1.9831730769230781E-3</v>
      </c>
      <c r="J270" s="60">
        <f t="shared" si="109"/>
        <v>4.362980769230769E-2</v>
      </c>
      <c r="K270" s="160">
        <f t="shared" si="105"/>
        <v>43.629807692307693</v>
      </c>
      <c r="L270" s="131">
        <f t="shared" si="106"/>
        <v>0.61538461538461542</v>
      </c>
      <c r="M270" s="58">
        <f t="shared" si="100"/>
        <v>0.63072520325203241</v>
      </c>
      <c r="N270" s="58">
        <f t="shared" si="110"/>
        <v>1.7888221153846168E-2</v>
      </c>
      <c r="O270" s="58">
        <f t="shared" si="108"/>
        <v>9.0200000000000014</v>
      </c>
      <c r="P270" s="58">
        <f>(A270-B270)*(Equations!$H$69*$Q$240+C270)</f>
        <v>11.101538461538462</v>
      </c>
      <c r="Q270" s="58">
        <f>(A270-B270)*(Equations!$H$69*$R$240+C270)</f>
        <v>6.9384615384615387</v>
      </c>
    </row>
    <row r="271" spans="1:17">
      <c r="A271" s="58">
        <f t="shared" si="97"/>
        <v>22</v>
      </c>
      <c r="B271" s="61">
        <f t="shared" si="98"/>
        <v>4.865384615384615</v>
      </c>
      <c r="C271" s="59">
        <f t="shared" si="101"/>
        <v>0.2</v>
      </c>
      <c r="D271" s="64">
        <f>B240</f>
        <v>72.582399999999993</v>
      </c>
      <c r="E271" s="57">
        <f t="shared" si="102"/>
        <v>4.2360098765432088</v>
      </c>
      <c r="F271" s="59">
        <f>Equations!$H$69+C271</f>
        <v>0.52</v>
      </c>
      <c r="G271" s="57">
        <f t="shared" si="103"/>
        <v>0.52</v>
      </c>
      <c r="H271" s="59">
        <f t="shared" si="99"/>
        <v>0.32</v>
      </c>
      <c r="I271" s="60">
        <f t="shared" si="104"/>
        <v>1.9831730769230699E-3</v>
      </c>
      <c r="J271" s="60">
        <f t="shared" si="109"/>
        <v>4.561298076923076E-2</v>
      </c>
      <c r="K271" s="160">
        <f t="shared" si="105"/>
        <v>45.612980769230759</v>
      </c>
      <c r="L271" s="131">
        <f t="shared" si="106"/>
        <v>0.61538461538461542</v>
      </c>
      <c r="M271" s="58">
        <f t="shared" si="100"/>
        <v>0.63933497942386819</v>
      </c>
      <c r="N271" s="58">
        <f t="shared" si="110"/>
        <v>1.7670072115384555E-2</v>
      </c>
      <c r="O271" s="58">
        <f t="shared" si="108"/>
        <v>8.9100000000000019</v>
      </c>
      <c r="P271" s="58">
        <f>(A271-B271)*(Equations!$H$69*$Q$240+C271)</f>
        <v>10.966153846153848</v>
      </c>
      <c r="Q271" s="58">
        <f>(A271-B271)*(Equations!$H$69*$R$240+C271)</f>
        <v>6.8538461538461553</v>
      </c>
    </row>
    <row r="272" spans="1:17">
      <c r="A272" s="58">
        <f t="shared" si="97"/>
        <v>22</v>
      </c>
      <c r="B272" s="61">
        <f t="shared" si="98"/>
        <v>5.0769230769230775</v>
      </c>
      <c r="C272" s="59">
        <f t="shared" si="101"/>
        <v>0.2</v>
      </c>
      <c r="D272" s="64">
        <f>B240</f>
        <v>72.582399999999993</v>
      </c>
      <c r="E272" s="57">
        <f t="shared" si="102"/>
        <v>4.2889599999999994</v>
      </c>
      <c r="F272" s="59">
        <f>Equations!$H$69+C272</f>
        <v>0.52</v>
      </c>
      <c r="G272" s="57">
        <f t="shared" si="103"/>
        <v>0.52</v>
      </c>
      <c r="H272" s="59">
        <f t="shared" si="99"/>
        <v>0.32</v>
      </c>
      <c r="I272" s="60">
        <f t="shared" si="104"/>
        <v>1.9831730769230864E-3</v>
      </c>
      <c r="J272" s="60">
        <f t="shared" si="109"/>
        <v>4.7596153846153844E-2</v>
      </c>
      <c r="K272" s="160">
        <f t="shared" si="105"/>
        <v>47.596153846153847</v>
      </c>
      <c r="L272" s="131">
        <f t="shared" si="106"/>
        <v>0.61538461538461542</v>
      </c>
      <c r="M272" s="58">
        <f t="shared" si="100"/>
        <v>0.64815999999999996</v>
      </c>
      <c r="N272" s="58">
        <f t="shared" si="110"/>
        <v>1.7451923076923163E-2</v>
      </c>
      <c r="O272" s="58">
        <f t="shared" si="108"/>
        <v>8.8000000000000007</v>
      </c>
      <c r="P272" s="58">
        <f>(A272-B272)*(Equations!$H$69*$Q$240+C272)</f>
        <v>10.830769230769231</v>
      </c>
      <c r="Q272" s="58">
        <f>(A272-B272)*(Equations!$H$69*$R$240+C272)</f>
        <v>6.7692307692307701</v>
      </c>
    </row>
    <row r="273" spans="1:17">
      <c r="A273" s="58">
        <f t="shared" si="97"/>
        <v>22</v>
      </c>
      <c r="B273" s="61">
        <f t="shared" si="98"/>
        <v>5.2884615384615383</v>
      </c>
      <c r="C273" s="59">
        <f t="shared" si="101"/>
        <v>0.2</v>
      </c>
      <c r="D273" s="64">
        <f>B240</f>
        <v>72.582399999999993</v>
      </c>
      <c r="E273" s="57">
        <f t="shared" si="102"/>
        <v>4.343250632911392</v>
      </c>
      <c r="F273" s="59">
        <f>Equations!$H$69+C273</f>
        <v>0.52</v>
      </c>
      <c r="G273" s="57">
        <f t="shared" si="103"/>
        <v>0.52</v>
      </c>
      <c r="H273" s="59">
        <f t="shared" si="99"/>
        <v>0.32</v>
      </c>
      <c r="I273" s="60">
        <f t="shared" si="104"/>
        <v>1.9831730769230699E-3</v>
      </c>
      <c r="J273" s="60">
        <f t="shared" si="109"/>
        <v>4.9579326923076913E-2</v>
      </c>
      <c r="K273" s="160">
        <f t="shared" si="105"/>
        <v>49.579326923076913</v>
      </c>
      <c r="L273" s="131">
        <f t="shared" si="106"/>
        <v>0.61538461538461542</v>
      </c>
      <c r="M273" s="58">
        <f t="shared" si="100"/>
        <v>0.65720843881856528</v>
      </c>
      <c r="N273" s="58">
        <f t="shared" si="110"/>
        <v>1.7233774038461477E-2</v>
      </c>
      <c r="O273" s="58">
        <f t="shared" si="108"/>
        <v>8.69</v>
      </c>
      <c r="P273" s="58">
        <f>(A273-B273)*(Equations!$H$69*$Q$240+C273)</f>
        <v>10.695384615384615</v>
      </c>
      <c r="Q273" s="58">
        <f>(A273-B273)*(Equations!$H$69*$R$240+C273)</f>
        <v>6.684615384615384</v>
      </c>
    </row>
    <row r="274" spans="1:17">
      <c r="A274" s="58">
        <f t="shared" si="97"/>
        <v>22</v>
      </c>
      <c r="B274" s="61">
        <f t="shared" si="98"/>
        <v>5.5</v>
      </c>
      <c r="C274" s="59">
        <f t="shared" si="101"/>
        <v>0.2</v>
      </c>
      <c r="D274" s="64">
        <f>B240</f>
        <v>72.582399999999993</v>
      </c>
      <c r="E274" s="57">
        <f t="shared" si="102"/>
        <v>4.3989333333333329</v>
      </c>
      <c r="F274" s="59">
        <f>Equations!$H$69+C274</f>
        <v>0.52</v>
      </c>
      <c r="G274" s="57">
        <f t="shared" si="103"/>
        <v>0.52</v>
      </c>
      <c r="H274" s="59">
        <f t="shared" si="99"/>
        <v>0.32</v>
      </c>
      <c r="I274" s="60">
        <f t="shared" si="104"/>
        <v>1.9831730769230781E-3</v>
      </c>
      <c r="J274" s="60">
        <f t="shared" si="109"/>
        <v>5.156249999999999E-2</v>
      </c>
      <c r="K274" s="160">
        <f t="shared" si="105"/>
        <v>51.562499999999993</v>
      </c>
      <c r="L274" s="131">
        <f t="shared" si="106"/>
        <v>0.61538461538461542</v>
      </c>
      <c r="M274" s="58">
        <f t="shared" si="100"/>
        <v>0.6664888888888888</v>
      </c>
      <c r="N274" s="58">
        <f t="shared" si="110"/>
        <v>1.701562500000001E-2</v>
      </c>
      <c r="O274" s="58">
        <f t="shared" si="108"/>
        <v>8.58</v>
      </c>
      <c r="P274" s="58">
        <f>(A274-B274)*(Equations!$H$69*$Q$240+C274)</f>
        <v>10.56</v>
      </c>
      <c r="Q274" s="58">
        <f>(A274-B274)*(Equations!$H$69*$R$240+C274)</f>
        <v>6.6000000000000005</v>
      </c>
    </row>
    <row r="275" spans="1:17">
      <c r="A275" s="58">
        <f t="shared" si="97"/>
        <v>22</v>
      </c>
      <c r="B275" s="61">
        <f t="shared" si="98"/>
        <v>5.7115384615384617</v>
      </c>
      <c r="C275" s="59">
        <f t="shared" si="101"/>
        <v>0.2</v>
      </c>
      <c r="D275" s="64">
        <f>B240</f>
        <v>72.582399999999993</v>
      </c>
      <c r="E275" s="57">
        <f t="shared" si="102"/>
        <v>4.4560623376623365</v>
      </c>
      <c r="F275" s="59">
        <f>Equations!$H$69+C275</f>
        <v>0.52</v>
      </c>
      <c r="G275" s="57">
        <f t="shared" si="103"/>
        <v>0.52</v>
      </c>
      <c r="H275" s="59">
        <f t="shared" si="99"/>
        <v>0.32</v>
      </c>
      <c r="I275" s="60">
        <f t="shared" si="104"/>
        <v>1.9831730769230781E-3</v>
      </c>
      <c r="J275" s="60">
        <f t="shared" si="109"/>
        <v>5.3545673076923067E-2</v>
      </c>
      <c r="K275" s="160">
        <f t="shared" si="105"/>
        <v>53.545673076923066</v>
      </c>
      <c r="L275" s="131">
        <f t="shared" si="106"/>
        <v>0.61538461538461542</v>
      </c>
      <c r="M275" s="58">
        <f t="shared" si="100"/>
        <v>0.67601038961038928</v>
      </c>
      <c r="N275" s="58">
        <f t="shared" si="110"/>
        <v>1.6797475961538473E-2</v>
      </c>
      <c r="O275" s="58">
        <f t="shared" si="108"/>
        <v>8.4700000000000006</v>
      </c>
      <c r="P275" s="58">
        <f>(A275-B275)*(Equations!$H$69*$Q$240+C275)</f>
        <v>10.424615384615386</v>
      </c>
      <c r="Q275" s="58">
        <f>(A275-B275)*(Equations!$H$69*$R$240+C275)</f>
        <v>6.5153846153846162</v>
      </c>
    </row>
    <row r="276" spans="1:17">
      <c r="A276" s="58">
        <f t="shared" si="97"/>
        <v>22</v>
      </c>
      <c r="B276" s="61">
        <f t="shared" si="98"/>
        <v>5.9230769230769225</v>
      </c>
      <c r="C276" s="59">
        <f t="shared" si="101"/>
        <v>0.2</v>
      </c>
      <c r="D276" s="64">
        <f>B240</f>
        <v>72.582399999999993</v>
      </c>
      <c r="E276" s="57">
        <f t="shared" si="102"/>
        <v>4.5146947368421051</v>
      </c>
      <c r="F276" s="59">
        <f>Equations!$H$69+C276</f>
        <v>0.52</v>
      </c>
      <c r="G276" s="57">
        <f t="shared" si="103"/>
        <v>0.52</v>
      </c>
      <c r="H276" s="59">
        <f t="shared" si="99"/>
        <v>0.32</v>
      </c>
      <c r="I276" s="60">
        <f t="shared" si="104"/>
        <v>1.9831730769230699E-3</v>
      </c>
      <c r="J276" s="60">
        <f t="shared" si="109"/>
        <v>5.5528846153846137E-2</v>
      </c>
      <c r="K276" s="160">
        <f t="shared" si="105"/>
        <v>55.528846153846139</v>
      </c>
      <c r="L276" s="131">
        <f t="shared" si="106"/>
        <v>0.61538461538461542</v>
      </c>
      <c r="M276" s="58">
        <f t="shared" si="100"/>
        <v>0.68578245614035072</v>
      </c>
      <c r="N276" s="58">
        <f t="shared" si="110"/>
        <v>1.6579326923076863E-2</v>
      </c>
      <c r="O276" s="58">
        <f t="shared" si="108"/>
        <v>8.36</v>
      </c>
      <c r="P276" s="58">
        <f>(A276-B276)*(Equations!$H$69*$Q$240+C276)</f>
        <v>10.28923076923077</v>
      </c>
      <c r="Q276" s="58">
        <f>(A276-B276)*(Equations!$H$69*$R$240+C276)</f>
        <v>6.430769230769231</v>
      </c>
    </row>
    <row r="277" spans="1:17">
      <c r="A277" s="58">
        <f t="shared" si="97"/>
        <v>22</v>
      </c>
      <c r="B277" s="61">
        <f t="shared" si="98"/>
        <v>6.134615384615385</v>
      </c>
      <c r="C277" s="59">
        <f t="shared" si="101"/>
        <v>0.2</v>
      </c>
      <c r="D277" s="64">
        <f>B240</f>
        <v>72.582399999999993</v>
      </c>
      <c r="E277" s="57">
        <f t="shared" si="102"/>
        <v>4.5748906666666667</v>
      </c>
      <c r="F277" s="59">
        <f>Equations!$H$69+C277</f>
        <v>0.52</v>
      </c>
      <c r="G277" s="57">
        <f t="shared" si="103"/>
        <v>0.52</v>
      </c>
      <c r="H277" s="59">
        <f t="shared" si="99"/>
        <v>0.32</v>
      </c>
      <c r="I277" s="60">
        <f t="shared" si="104"/>
        <v>1.9831730769230864E-3</v>
      </c>
      <c r="J277" s="60">
        <f t="shared" si="109"/>
        <v>5.7512019230769221E-2</v>
      </c>
      <c r="K277" s="160">
        <f t="shared" si="105"/>
        <v>57.512019230769219</v>
      </c>
      <c r="L277" s="131">
        <f t="shared" si="106"/>
        <v>0.61538461538461542</v>
      </c>
      <c r="M277" s="58">
        <f t="shared" si="100"/>
        <v>0.69581511111111105</v>
      </c>
      <c r="N277" s="58">
        <f t="shared" si="110"/>
        <v>1.6361177884615465E-2</v>
      </c>
      <c r="O277" s="58">
        <f t="shared" si="108"/>
        <v>8.25</v>
      </c>
      <c r="P277" s="58">
        <f>(A277-B277)*(Equations!$H$69*$Q$240+C277)</f>
        <v>10.153846153846153</v>
      </c>
      <c r="Q277" s="58">
        <f>(A277-B277)*(Equations!$H$69*$R$240+C277)</f>
        <v>6.3461538461538467</v>
      </c>
    </row>
    <row r="278" spans="1:17">
      <c r="A278" s="58">
        <f t="shared" si="97"/>
        <v>22</v>
      </c>
      <c r="B278" s="61">
        <f t="shared" si="98"/>
        <v>6.3461538461538458</v>
      </c>
      <c r="C278" s="59">
        <f t="shared" si="101"/>
        <v>0.2</v>
      </c>
      <c r="D278" s="64">
        <f>B240</f>
        <v>72.582399999999993</v>
      </c>
      <c r="E278" s="57">
        <f t="shared" si="102"/>
        <v>4.6367135135135129</v>
      </c>
      <c r="F278" s="59">
        <f>Equations!$H$69+C278</f>
        <v>0.52</v>
      </c>
      <c r="G278" s="57">
        <f t="shared" si="103"/>
        <v>0.52</v>
      </c>
      <c r="H278" s="59">
        <f t="shared" si="99"/>
        <v>0.32</v>
      </c>
      <c r="I278" s="60">
        <f t="shared" si="104"/>
        <v>1.9831730769230699E-3</v>
      </c>
      <c r="J278" s="60">
        <f t="shared" si="109"/>
        <v>5.9495192307692291E-2</v>
      </c>
      <c r="K278" s="160">
        <f t="shared" si="105"/>
        <v>59.495192307692292</v>
      </c>
      <c r="L278" s="131">
        <f t="shared" si="106"/>
        <v>0.61538461538461542</v>
      </c>
      <c r="M278" s="58">
        <f t="shared" si="100"/>
        <v>0.70611891891891876</v>
      </c>
      <c r="N278" s="58">
        <f t="shared" si="110"/>
        <v>1.614302884615379E-2</v>
      </c>
      <c r="O278" s="58">
        <f t="shared" si="108"/>
        <v>8.14</v>
      </c>
      <c r="P278" s="58">
        <f>(A278-B278)*(Equations!$H$69*$Q$240+C278)</f>
        <v>10.018461538461539</v>
      </c>
      <c r="Q278" s="58">
        <f>(A278-B278)*(Equations!$H$69*$R$240+C278)</f>
        <v>6.2615384615384615</v>
      </c>
    </row>
    <row r="279" spans="1:17">
      <c r="A279" s="58">
        <f t="shared" si="97"/>
        <v>22</v>
      </c>
      <c r="B279" s="61">
        <f t="shared" si="98"/>
        <v>6.5576923076923075</v>
      </c>
      <c r="C279" s="59">
        <f t="shared" si="101"/>
        <v>0.2</v>
      </c>
      <c r="D279" s="64">
        <f>B240</f>
        <v>72.582399999999993</v>
      </c>
      <c r="E279" s="57">
        <f t="shared" si="102"/>
        <v>4.7002301369863009</v>
      </c>
      <c r="F279" s="59">
        <f>Equations!$H$69+C279</f>
        <v>0.52</v>
      </c>
      <c r="G279" s="57">
        <f t="shared" si="103"/>
        <v>0.52</v>
      </c>
      <c r="H279" s="59">
        <f t="shared" si="99"/>
        <v>0.32</v>
      </c>
      <c r="I279" s="60">
        <f t="shared" si="104"/>
        <v>1.9831730769230781E-3</v>
      </c>
      <c r="J279" s="60">
        <f t="shared" si="109"/>
        <v>6.1478365384615367E-2</v>
      </c>
      <c r="K279" s="160">
        <f t="shared" si="105"/>
        <v>61.478365384615365</v>
      </c>
      <c r="L279" s="131">
        <f t="shared" si="106"/>
        <v>0.61538461538461542</v>
      </c>
      <c r="M279" s="58">
        <f t="shared" si="100"/>
        <v>0.71670502283105009</v>
      </c>
      <c r="N279" s="58">
        <f t="shared" si="110"/>
        <v>1.5924879807692319E-2</v>
      </c>
      <c r="O279" s="58">
        <f t="shared" si="108"/>
        <v>8.0300000000000011</v>
      </c>
      <c r="P279" s="58">
        <f>(A279-B279)*(Equations!$H$69*$Q$240+C279)</f>
        <v>9.8830769230769242</v>
      </c>
      <c r="Q279" s="58">
        <f>(A279-B279)*(Equations!$H$69*$R$240+C279)</f>
        <v>6.1769230769230781</v>
      </c>
    </row>
    <row r="280" spans="1:17">
      <c r="A280" s="58">
        <f t="shared" si="97"/>
        <v>22</v>
      </c>
      <c r="B280" s="61">
        <f t="shared" ref="B280:B311" si="111">VINMAX*((ROW()-248)/104)</f>
        <v>6.7692307692307701</v>
      </c>
      <c r="C280" s="59">
        <f t="shared" si="101"/>
        <v>0.2</v>
      </c>
      <c r="D280" s="64">
        <f>B240</f>
        <v>72.582399999999993</v>
      </c>
      <c r="E280" s="57">
        <f t="shared" si="102"/>
        <v>4.7655111111111106</v>
      </c>
      <c r="F280" s="59">
        <f>Equations!$H$69+C280</f>
        <v>0.52</v>
      </c>
      <c r="G280" s="57">
        <f t="shared" si="103"/>
        <v>0.52</v>
      </c>
      <c r="H280" s="59">
        <f t="shared" si="99"/>
        <v>0.32</v>
      </c>
      <c r="I280" s="60">
        <f t="shared" si="104"/>
        <v>1.9831730769230864E-3</v>
      </c>
      <c r="J280" s="60">
        <f t="shared" si="109"/>
        <v>6.3461538461538458E-2</v>
      </c>
      <c r="K280" s="160">
        <f t="shared" si="105"/>
        <v>63.46153846153846</v>
      </c>
      <c r="L280" s="131">
        <f t="shared" si="106"/>
        <v>0.61538461538461542</v>
      </c>
      <c r="M280" s="58">
        <f t="shared" si="100"/>
        <v>0.727585185185185</v>
      </c>
      <c r="N280" s="58">
        <f t="shared" si="110"/>
        <v>1.5706730769230844E-2</v>
      </c>
      <c r="O280" s="58">
        <f t="shared" si="108"/>
        <v>7.92</v>
      </c>
      <c r="P280" s="58">
        <f>(A280-B280)*(Equations!$H$69*$Q$240+C280)</f>
        <v>9.7476923076923079</v>
      </c>
      <c r="Q280" s="58">
        <f>(A280-B280)*(Equations!$H$69*$R$240+C280)</f>
        <v>6.092307692307692</v>
      </c>
    </row>
    <row r="281" spans="1:17">
      <c r="A281" s="58">
        <f t="shared" si="97"/>
        <v>22</v>
      </c>
      <c r="B281" s="61">
        <f t="shared" si="111"/>
        <v>6.9807692307692299</v>
      </c>
      <c r="C281" s="59">
        <f t="shared" si="101"/>
        <v>0.2</v>
      </c>
      <c r="D281" s="64">
        <f>B240</f>
        <v>72.582399999999993</v>
      </c>
      <c r="E281" s="57">
        <f t="shared" si="102"/>
        <v>4.8326309859154923</v>
      </c>
      <c r="F281" s="59">
        <f>Equations!$H$69+C281</f>
        <v>0.52</v>
      </c>
      <c r="G281" s="57">
        <f t="shared" si="103"/>
        <v>0.52</v>
      </c>
      <c r="H281" s="59">
        <f t="shared" si="99"/>
        <v>0.32</v>
      </c>
      <c r="I281" s="60">
        <f t="shared" si="104"/>
        <v>1.9831730769230616E-3</v>
      </c>
      <c r="J281" s="60">
        <f t="shared" si="109"/>
        <v>6.5444711538461514E-2</v>
      </c>
      <c r="K281" s="160">
        <f t="shared" si="105"/>
        <v>65.444711538461519</v>
      </c>
      <c r="L281" s="131">
        <f t="shared" si="106"/>
        <v>0.61538461538461542</v>
      </c>
      <c r="M281" s="58">
        <f t="shared" si="100"/>
        <v>0.73877183098591537</v>
      </c>
      <c r="N281" s="58">
        <f t="shared" si="110"/>
        <v>1.5488581730769111E-2</v>
      </c>
      <c r="O281" s="58">
        <f t="shared" si="108"/>
        <v>7.8100000000000005</v>
      </c>
      <c r="P281" s="58">
        <f>(A281-B281)*(Equations!$H$69*$Q$240+C281)</f>
        <v>9.6123076923076933</v>
      </c>
      <c r="Q281" s="58">
        <f>(A281-B281)*(Equations!$H$69*$R$240+C281)</f>
        <v>6.0076923076923086</v>
      </c>
    </row>
    <row r="282" spans="1:17">
      <c r="A282" s="58">
        <f t="shared" si="97"/>
        <v>22</v>
      </c>
      <c r="B282" s="61">
        <f t="shared" si="111"/>
        <v>7.1923076923076925</v>
      </c>
      <c r="C282" s="59">
        <f t="shared" si="101"/>
        <v>0.2</v>
      </c>
      <c r="D282" s="64">
        <f>B240</f>
        <v>72.582399999999993</v>
      </c>
      <c r="E282" s="57">
        <f t="shared" si="102"/>
        <v>4.901668571428571</v>
      </c>
      <c r="F282" s="59">
        <f>Equations!$H$69+C282</f>
        <v>0.52</v>
      </c>
      <c r="G282" s="57">
        <f t="shared" si="103"/>
        <v>0.52</v>
      </c>
      <c r="H282" s="59">
        <f t="shared" si="99"/>
        <v>0.32</v>
      </c>
      <c r="I282" s="60">
        <f t="shared" si="104"/>
        <v>1.9831730769230864E-3</v>
      </c>
      <c r="J282" s="60">
        <f t="shared" si="109"/>
        <v>6.7427884615384598E-2</v>
      </c>
      <c r="K282" s="160">
        <f t="shared" si="105"/>
        <v>67.427884615384599</v>
      </c>
      <c r="L282" s="131">
        <f t="shared" si="106"/>
        <v>0.61538461538461542</v>
      </c>
      <c r="M282" s="58">
        <f t="shared" si="100"/>
        <v>0.75027809523809519</v>
      </c>
      <c r="N282" s="58">
        <f t="shared" si="110"/>
        <v>1.5270432692307765E-2</v>
      </c>
      <c r="O282" s="58">
        <f t="shared" si="108"/>
        <v>7.6999999999999993</v>
      </c>
      <c r="P282" s="58">
        <f>(A282-B282)*(Equations!$H$69*$Q$240+C282)</f>
        <v>9.476923076923077</v>
      </c>
      <c r="Q282" s="58">
        <f>(A282-B282)*(Equations!$H$69*$R$240+C282)</f>
        <v>5.9230769230769234</v>
      </c>
    </row>
    <row r="283" spans="1:17">
      <c r="A283" s="58">
        <f t="shared" si="97"/>
        <v>22</v>
      </c>
      <c r="B283" s="61">
        <f t="shared" si="111"/>
        <v>7.4038461538461542</v>
      </c>
      <c r="C283" s="59">
        <f t="shared" si="101"/>
        <v>0.2</v>
      </c>
      <c r="D283" s="64">
        <f>B240</f>
        <v>72.582399999999993</v>
      </c>
      <c r="E283" s="57">
        <f t="shared" si="102"/>
        <v>4.9727072463768112</v>
      </c>
      <c r="F283" s="59">
        <f>Equations!$H$69+C283</f>
        <v>0.52</v>
      </c>
      <c r="G283" s="57">
        <f t="shared" si="103"/>
        <v>0.52</v>
      </c>
      <c r="H283" s="59">
        <f t="shared" si="99"/>
        <v>0.32</v>
      </c>
      <c r="I283" s="60">
        <f t="shared" si="104"/>
        <v>1.9831730769230781E-3</v>
      </c>
      <c r="J283" s="60">
        <f t="shared" si="109"/>
        <v>6.9411057692307682E-2</v>
      </c>
      <c r="K283" s="160">
        <f t="shared" si="105"/>
        <v>69.411057692307679</v>
      </c>
      <c r="L283" s="131">
        <f t="shared" si="106"/>
        <v>0.61538461538461542</v>
      </c>
      <c r="M283" s="58">
        <f t="shared" si="100"/>
        <v>0.7621178743961351</v>
      </c>
      <c r="N283" s="58">
        <f t="shared" si="110"/>
        <v>1.5052283653846164E-2</v>
      </c>
      <c r="O283" s="58">
        <f t="shared" si="108"/>
        <v>7.5900000000000007</v>
      </c>
      <c r="P283" s="58">
        <f>(A283-B283)*(Equations!$H$69*$Q$240+C283)</f>
        <v>9.3415384615384625</v>
      </c>
      <c r="Q283" s="58">
        <f>(A283-B283)*(Equations!$H$69*$R$240+C283)</f>
        <v>5.838461538461539</v>
      </c>
    </row>
    <row r="284" spans="1:17">
      <c r="A284" s="58">
        <f t="shared" si="97"/>
        <v>22</v>
      </c>
      <c r="B284" s="61">
        <f t="shared" si="111"/>
        <v>7.615384615384615</v>
      </c>
      <c r="C284" s="59">
        <f t="shared" si="101"/>
        <v>0.2</v>
      </c>
      <c r="D284" s="64">
        <f>B240</f>
        <v>72.582399999999993</v>
      </c>
      <c r="E284" s="57">
        <f t="shared" si="102"/>
        <v>5.0458352941176461</v>
      </c>
      <c r="F284" s="59">
        <f>Equations!$H$69+C284</f>
        <v>0.52</v>
      </c>
      <c r="G284" s="57">
        <f t="shared" si="103"/>
        <v>0.52</v>
      </c>
      <c r="H284" s="59">
        <f t="shared" si="99"/>
        <v>0.32</v>
      </c>
      <c r="I284" s="60">
        <f t="shared" si="104"/>
        <v>1.9831730769230699E-3</v>
      </c>
      <c r="J284" s="60">
        <f t="shared" si="109"/>
        <v>7.1394230769230752E-2</v>
      </c>
      <c r="K284" s="160">
        <f t="shared" si="105"/>
        <v>71.394230769230745</v>
      </c>
      <c r="L284" s="131">
        <f t="shared" si="106"/>
        <v>0.61538461538461542</v>
      </c>
      <c r="M284" s="58">
        <f t="shared" si="100"/>
        <v>0.77430588235294096</v>
      </c>
      <c r="N284" s="58">
        <f t="shared" si="110"/>
        <v>1.4834134615384563E-2</v>
      </c>
      <c r="O284" s="58">
        <f t="shared" si="108"/>
        <v>7.48</v>
      </c>
      <c r="P284" s="58">
        <f>(A284-B284)*(Equations!$H$69*$Q$240+C284)</f>
        <v>9.2061538461538461</v>
      </c>
      <c r="Q284" s="58">
        <f>(A284-B284)*(Equations!$H$69*$R$240+C284)</f>
        <v>5.7538461538461547</v>
      </c>
    </row>
    <row r="285" spans="1:17">
      <c r="A285" s="58">
        <f t="shared" si="97"/>
        <v>22</v>
      </c>
      <c r="B285" s="61">
        <f t="shared" si="111"/>
        <v>7.8269230769230775</v>
      </c>
      <c r="C285" s="59">
        <f t="shared" si="101"/>
        <v>0.2</v>
      </c>
      <c r="D285" s="64">
        <f>B240</f>
        <v>72.582399999999993</v>
      </c>
      <c r="E285" s="57">
        <f t="shared" si="102"/>
        <v>5.121146268656716</v>
      </c>
      <c r="F285" s="59">
        <f>Equations!$H$69+C285</f>
        <v>0.52</v>
      </c>
      <c r="G285" s="57">
        <f t="shared" si="103"/>
        <v>0.52</v>
      </c>
      <c r="H285" s="59">
        <f t="shared" si="99"/>
        <v>0.32</v>
      </c>
      <c r="I285" s="60">
        <f t="shared" si="104"/>
        <v>1.9831730769230864E-3</v>
      </c>
      <c r="J285" s="60">
        <f t="shared" si="109"/>
        <v>7.3377403846153835E-2</v>
      </c>
      <c r="K285" s="160">
        <f t="shared" si="105"/>
        <v>73.37740384615384</v>
      </c>
      <c r="L285" s="131">
        <f t="shared" si="106"/>
        <v>0.61538461538461542</v>
      </c>
      <c r="M285" s="58">
        <f t="shared" si="100"/>
        <v>0.78685771144278593</v>
      </c>
      <c r="N285" s="58">
        <f t="shared" si="110"/>
        <v>1.4615985576923148E-2</v>
      </c>
      <c r="O285" s="58">
        <f t="shared" si="108"/>
        <v>7.37</v>
      </c>
      <c r="P285" s="58">
        <f>(A285-B285)*(Equations!$H$69*$Q$240+C285)</f>
        <v>9.0707692307692316</v>
      </c>
      <c r="Q285" s="58">
        <f>(A285-B285)*(Equations!$H$69*$R$240+C285)</f>
        <v>5.6692307692307695</v>
      </c>
    </row>
    <row r="286" spans="1:17">
      <c r="A286" s="58">
        <f t="shared" si="97"/>
        <v>22</v>
      </c>
      <c r="B286" s="61">
        <f t="shared" si="111"/>
        <v>8.0384615384615383</v>
      </c>
      <c r="C286" s="59">
        <f t="shared" si="101"/>
        <v>0.2</v>
      </c>
      <c r="D286" s="64">
        <f>B240</f>
        <v>72.582399999999993</v>
      </c>
      <c r="E286" s="57">
        <f t="shared" si="102"/>
        <v>5.1987393939393938</v>
      </c>
      <c r="F286" s="59">
        <f>Equations!$H$69+C286</f>
        <v>0.52</v>
      </c>
      <c r="G286" s="57">
        <f t="shared" si="103"/>
        <v>0.52</v>
      </c>
      <c r="H286" s="59">
        <f t="shared" si="99"/>
        <v>0.32</v>
      </c>
      <c r="I286" s="60">
        <f t="shared" si="104"/>
        <v>1.9831730769230699E-3</v>
      </c>
      <c r="J286" s="60">
        <f t="shared" si="109"/>
        <v>7.5360576923076905E-2</v>
      </c>
      <c r="K286" s="160">
        <f t="shared" si="105"/>
        <v>75.360576923076906</v>
      </c>
      <c r="L286" s="131">
        <f t="shared" si="106"/>
        <v>0.61538461538461542</v>
      </c>
      <c r="M286" s="58">
        <f t="shared" si="100"/>
        <v>0.79978989898989883</v>
      </c>
      <c r="N286" s="58">
        <f t="shared" si="110"/>
        <v>1.4397836538461488E-2</v>
      </c>
      <c r="O286" s="58">
        <f t="shared" si="108"/>
        <v>7.2600000000000007</v>
      </c>
      <c r="P286" s="58">
        <f>(A286-B286)*(Equations!$H$69*$Q$240+C286)</f>
        <v>8.9353846153846153</v>
      </c>
      <c r="Q286" s="58">
        <f>(A286-B286)*(Equations!$H$69*$R$240+C286)</f>
        <v>5.5846153846153852</v>
      </c>
    </row>
    <row r="287" spans="1:17">
      <c r="A287" s="58">
        <f t="shared" si="97"/>
        <v>22</v>
      </c>
      <c r="B287" s="61">
        <f t="shared" si="111"/>
        <v>8.25</v>
      </c>
      <c r="C287" s="59">
        <f t="shared" si="101"/>
        <v>0.2</v>
      </c>
      <c r="D287" s="64">
        <f>B240</f>
        <v>72.582399999999993</v>
      </c>
      <c r="E287" s="57">
        <f t="shared" si="102"/>
        <v>5.2787199999999999</v>
      </c>
      <c r="F287" s="59">
        <f>Equations!$H$69+C287</f>
        <v>0.52</v>
      </c>
      <c r="G287" s="57">
        <f t="shared" si="103"/>
        <v>0.52</v>
      </c>
      <c r="H287" s="59">
        <f t="shared" si="99"/>
        <v>0.32</v>
      </c>
      <c r="I287" s="60">
        <f t="shared" si="104"/>
        <v>1.9831730769230781E-3</v>
      </c>
      <c r="J287" s="60">
        <f t="shared" si="109"/>
        <v>7.7343749999999989E-2</v>
      </c>
      <c r="K287" s="160">
        <f t="shared" si="105"/>
        <v>77.343749999999986</v>
      </c>
      <c r="L287" s="131">
        <f t="shared" si="106"/>
        <v>0.61538461538461542</v>
      </c>
      <c r="M287" s="58">
        <f t="shared" si="100"/>
        <v>0.81311999999999984</v>
      </c>
      <c r="N287" s="58">
        <f t="shared" si="110"/>
        <v>1.417968750000001E-2</v>
      </c>
      <c r="O287" s="58">
        <f t="shared" si="108"/>
        <v>7.15</v>
      </c>
      <c r="P287" s="58">
        <f>(A287-B287)*(Equations!$H$69*$Q$240+C287)</f>
        <v>8.8000000000000007</v>
      </c>
      <c r="Q287" s="58">
        <f>(A287-B287)*(Equations!$H$69*$R$240+C287)</f>
        <v>5.5</v>
      </c>
    </row>
    <row r="288" spans="1:17">
      <c r="A288" s="58">
        <f t="shared" si="97"/>
        <v>22</v>
      </c>
      <c r="B288" s="61">
        <f t="shared" si="111"/>
        <v>8.4615384615384617</v>
      </c>
      <c r="C288" s="59">
        <f t="shared" si="101"/>
        <v>0.2</v>
      </c>
      <c r="D288" s="64">
        <f>B240</f>
        <v>72.582399999999993</v>
      </c>
      <c r="E288" s="57">
        <f t="shared" si="102"/>
        <v>5.3611999999999993</v>
      </c>
      <c r="F288" s="59">
        <f>Equations!$H$69+C288</f>
        <v>0.52</v>
      </c>
      <c r="G288" s="57">
        <f t="shared" si="103"/>
        <v>0.52</v>
      </c>
      <c r="H288" s="59">
        <f t="shared" si="99"/>
        <v>0.32</v>
      </c>
      <c r="I288" s="60">
        <f t="shared" si="104"/>
        <v>1.9831730769230781E-3</v>
      </c>
      <c r="J288" s="60">
        <f t="shared" si="109"/>
        <v>7.9326923076923073E-2</v>
      </c>
      <c r="K288" s="160">
        <f t="shared" si="105"/>
        <v>79.326923076923066</v>
      </c>
      <c r="L288" s="131">
        <f t="shared" si="106"/>
        <v>0.61538461538461542</v>
      </c>
      <c r="M288" s="58">
        <f t="shared" si="100"/>
        <v>0.82686666666666642</v>
      </c>
      <c r="N288" s="58">
        <f t="shared" si="110"/>
        <v>1.3961538461538471E-2</v>
      </c>
      <c r="O288" s="58">
        <f t="shared" si="108"/>
        <v>7.04</v>
      </c>
      <c r="P288" s="58">
        <f>(A288-B288)*(Equations!$H$69*$Q$240+C288)</f>
        <v>8.6646153846153844</v>
      </c>
      <c r="Q288" s="58">
        <f>(A288-B288)*(Equations!$H$69*$R$240+C288)</f>
        <v>5.4153846153846157</v>
      </c>
    </row>
    <row r="289" spans="1:17">
      <c r="A289" s="58">
        <f t="shared" si="97"/>
        <v>22</v>
      </c>
      <c r="B289" s="61">
        <f t="shared" si="111"/>
        <v>8.6730769230769234</v>
      </c>
      <c r="C289" s="59">
        <f t="shared" si="101"/>
        <v>0.2</v>
      </c>
      <c r="D289" s="64">
        <f>B240</f>
        <v>72.582399999999993</v>
      </c>
      <c r="E289" s="57">
        <f t="shared" si="102"/>
        <v>5.446298412698412</v>
      </c>
      <c r="F289" s="59">
        <f>Equations!$H$69+C289</f>
        <v>0.52</v>
      </c>
      <c r="G289" s="57">
        <f t="shared" si="103"/>
        <v>0.52</v>
      </c>
      <c r="H289" s="59">
        <f t="shared" si="99"/>
        <v>0.32</v>
      </c>
      <c r="I289" s="60">
        <f t="shared" si="104"/>
        <v>1.9831730769230781E-3</v>
      </c>
      <c r="J289" s="60">
        <f t="shared" si="109"/>
        <v>8.1310096153846156E-2</v>
      </c>
      <c r="K289" s="160">
        <f t="shared" si="105"/>
        <v>81.31009615384616</v>
      </c>
      <c r="L289" s="131">
        <f t="shared" si="106"/>
        <v>0.61538461538461542</v>
      </c>
      <c r="M289" s="58">
        <f t="shared" si="100"/>
        <v>0.84104973544973527</v>
      </c>
      <c r="N289" s="58">
        <f t="shared" si="110"/>
        <v>1.3743389423076933E-2</v>
      </c>
      <c r="O289" s="58">
        <f t="shared" si="108"/>
        <v>6.93</v>
      </c>
      <c r="P289" s="58">
        <f>(A289-B289)*(Equations!$H$69*$Q$240+C289)</f>
        <v>8.5292307692307698</v>
      </c>
      <c r="Q289" s="58">
        <f>(A289-B289)*(Equations!$H$69*$R$240+C289)</f>
        <v>5.3307692307692314</v>
      </c>
    </row>
    <row r="290" spans="1:17">
      <c r="A290" s="58">
        <f t="shared" si="97"/>
        <v>22</v>
      </c>
      <c r="B290" s="61">
        <f t="shared" si="111"/>
        <v>8.884615384615385</v>
      </c>
      <c r="C290" s="59">
        <f t="shared" si="101"/>
        <v>0.2</v>
      </c>
      <c r="D290" s="64">
        <f>B240</f>
        <v>72.582399999999993</v>
      </c>
      <c r="E290" s="57">
        <f t="shared" si="102"/>
        <v>5.5341419354838708</v>
      </c>
      <c r="F290" s="59">
        <f>Equations!$H$69+C290</f>
        <v>0.52</v>
      </c>
      <c r="G290" s="57">
        <f t="shared" si="103"/>
        <v>0.52</v>
      </c>
      <c r="H290" s="59">
        <f t="shared" si="99"/>
        <v>0.32</v>
      </c>
      <c r="I290" s="60">
        <f t="shared" si="104"/>
        <v>1.9831730769230781E-3</v>
      </c>
      <c r="J290" s="60">
        <f t="shared" si="109"/>
        <v>8.329326923076924E-2</v>
      </c>
      <c r="K290" s="160">
        <f t="shared" si="105"/>
        <v>83.293269230769241</v>
      </c>
      <c r="L290" s="131">
        <f t="shared" si="106"/>
        <v>0.61538461538461542</v>
      </c>
      <c r="M290" s="58">
        <f t="shared" si="100"/>
        <v>0.85569032258064504</v>
      </c>
      <c r="N290" s="58">
        <f t="shared" si="110"/>
        <v>1.3525240384615394E-2</v>
      </c>
      <c r="O290" s="58">
        <f t="shared" si="108"/>
        <v>6.82</v>
      </c>
      <c r="P290" s="58">
        <f>(A290-B290)*(Equations!$H$69*$Q$240+C290)</f>
        <v>8.3938461538461535</v>
      </c>
      <c r="Q290" s="58">
        <f>(A290-B290)*(Equations!$H$69*$R$240+C290)</f>
        <v>5.2461538461538462</v>
      </c>
    </row>
    <row r="291" spans="1:17">
      <c r="A291" s="58">
        <f t="shared" si="97"/>
        <v>22</v>
      </c>
      <c r="B291" s="61">
        <f t="shared" si="111"/>
        <v>9.0961538461538449</v>
      </c>
      <c r="C291" s="59">
        <f t="shared" si="101"/>
        <v>0.2</v>
      </c>
      <c r="D291" s="64">
        <f>B240</f>
        <v>72.582399999999993</v>
      </c>
      <c r="E291" s="57">
        <f t="shared" si="102"/>
        <v>5.6248655737704905</v>
      </c>
      <c r="F291" s="59">
        <f>Equations!$H$69+C291</f>
        <v>0.52</v>
      </c>
      <c r="G291" s="57">
        <f t="shared" si="103"/>
        <v>0.52</v>
      </c>
      <c r="H291" s="59">
        <f t="shared" si="99"/>
        <v>0.32</v>
      </c>
      <c r="I291" s="60">
        <f t="shared" si="104"/>
        <v>1.9831730769230616E-3</v>
      </c>
      <c r="J291" s="60">
        <f t="shared" si="109"/>
        <v>8.5276442307692296E-2</v>
      </c>
      <c r="K291" s="160">
        <f t="shared" si="105"/>
        <v>85.276442307692292</v>
      </c>
      <c r="L291" s="131">
        <f t="shared" si="106"/>
        <v>0.61538461538461542</v>
      </c>
      <c r="M291" s="58">
        <f t="shared" si="100"/>
        <v>0.87081092896174828</v>
      </c>
      <c r="N291" s="58">
        <f t="shared" si="110"/>
        <v>1.3307091346153745E-2</v>
      </c>
      <c r="O291" s="58">
        <f t="shared" si="108"/>
        <v>6.7100000000000009</v>
      </c>
      <c r="P291" s="58">
        <f>(A291-B291)*(Equations!$H$69*$Q$240+C291)</f>
        <v>8.258461538461539</v>
      </c>
      <c r="Q291" s="58">
        <f>(A291-B291)*(Equations!$H$69*$R$240+C291)</f>
        <v>5.1615384615384627</v>
      </c>
    </row>
    <row r="292" spans="1:17">
      <c r="A292" s="58">
        <f t="shared" si="97"/>
        <v>22</v>
      </c>
      <c r="B292" s="61">
        <f t="shared" si="111"/>
        <v>9.3076923076923084</v>
      </c>
      <c r="C292" s="59">
        <f t="shared" si="101"/>
        <v>0.2</v>
      </c>
      <c r="D292" s="64">
        <f>B240</f>
        <v>72.582399999999993</v>
      </c>
      <c r="E292" s="57">
        <f t="shared" si="102"/>
        <v>5.7186133333333329</v>
      </c>
      <c r="F292" s="59">
        <f>Equations!$H$69+C292</f>
        <v>0.52</v>
      </c>
      <c r="G292" s="57">
        <f t="shared" si="103"/>
        <v>0.52</v>
      </c>
      <c r="H292" s="59">
        <f t="shared" si="99"/>
        <v>0.32</v>
      </c>
      <c r="I292" s="60">
        <f t="shared" si="104"/>
        <v>1.983173076923095E-3</v>
      </c>
      <c r="J292" s="60">
        <f t="shared" si="109"/>
        <v>8.7259615384615394E-2</v>
      </c>
      <c r="K292" s="160">
        <f t="shared" si="105"/>
        <v>87.259615384615387</v>
      </c>
      <c r="L292" s="131">
        <f t="shared" si="106"/>
        <v>0.61538461538461542</v>
      </c>
      <c r="M292" s="58">
        <f t="shared" si="100"/>
        <v>0.88643555555555542</v>
      </c>
      <c r="N292" s="58">
        <f t="shared" si="110"/>
        <v>1.3088942307692426E-2</v>
      </c>
      <c r="O292" s="58">
        <f t="shared" si="108"/>
        <v>6.6</v>
      </c>
      <c r="P292" s="58">
        <f>(A292-B292)*(Equations!$H$69*$Q$240+C292)</f>
        <v>8.1230769230769226</v>
      </c>
      <c r="Q292" s="58">
        <f>(A292-B292)*(Equations!$H$69*$R$240+C292)</f>
        <v>5.0769230769230766</v>
      </c>
    </row>
    <row r="293" spans="1:17">
      <c r="A293" s="58">
        <f t="shared" si="97"/>
        <v>22</v>
      </c>
      <c r="B293" s="61">
        <f t="shared" si="111"/>
        <v>9.5192307692307701</v>
      </c>
      <c r="C293" s="59">
        <f t="shared" si="101"/>
        <v>0.2</v>
      </c>
      <c r="D293" s="64">
        <f>B240</f>
        <v>72.582399999999993</v>
      </c>
      <c r="E293" s="57">
        <f t="shared" si="102"/>
        <v>5.815538983050847</v>
      </c>
      <c r="F293" s="59">
        <f>Equations!$H$69+C293</f>
        <v>0.52</v>
      </c>
      <c r="G293" s="57">
        <f t="shared" si="103"/>
        <v>0.52</v>
      </c>
      <c r="H293" s="59">
        <f t="shared" si="99"/>
        <v>0.32</v>
      </c>
      <c r="I293" s="60">
        <f t="shared" si="104"/>
        <v>1.9831730769230781E-3</v>
      </c>
      <c r="J293" s="60">
        <f t="shared" si="109"/>
        <v>8.9242788461538478E-2</v>
      </c>
      <c r="K293" s="160">
        <f t="shared" si="105"/>
        <v>89.242788461538481</v>
      </c>
      <c r="L293" s="131">
        <f t="shared" si="106"/>
        <v>0.61538461538461542</v>
      </c>
      <c r="M293" s="58">
        <f t="shared" si="100"/>
        <v>0.90258983050847441</v>
      </c>
      <c r="N293" s="58">
        <f t="shared" si="110"/>
        <v>1.2870793269230777E-2</v>
      </c>
      <c r="O293" s="58">
        <f t="shared" si="108"/>
        <v>6.49</v>
      </c>
      <c r="P293" s="58">
        <f>(A293-B293)*(Equations!$H$69*$Q$240+C293)</f>
        <v>7.9876923076923072</v>
      </c>
      <c r="Q293" s="58">
        <f>(A293-B293)*(Equations!$H$69*$R$240+C293)</f>
        <v>4.9923076923076923</v>
      </c>
    </row>
    <row r="294" spans="1:17">
      <c r="A294" s="58">
        <f t="shared" si="97"/>
        <v>22</v>
      </c>
      <c r="B294" s="61">
        <f t="shared" si="111"/>
        <v>9.7307692307692299</v>
      </c>
      <c r="C294" s="59">
        <f t="shared" si="101"/>
        <v>0.2</v>
      </c>
      <c r="D294" s="64">
        <f>B240</f>
        <v>72.582399999999993</v>
      </c>
      <c r="E294" s="57">
        <f t="shared" si="102"/>
        <v>5.9158068965517234</v>
      </c>
      <c r="F294" s="59">
        <f>Equations!$H$69+C294</f>
        <v>0.52</v>
      </c>
      <c r="G294" s="57">
        <f t="shared" si="103"/>
        <v>0.52</v>
      </c>
      <c r="H294" s="59">
        <f t="shared" si="99"/>
        <v>0.32</v>
      </c>
      <c r="I294" s="60">
        <f t="shared" si="104"/>
        <v>1.9831730769230616E-3</v>
      </c>
      <c r="J294" s="60">
        <f t="shared" si="109"/>
        <v>9.1225961538461534E-2</v>
      </c>
      <c r="K294" s="160">
        <f t="shared" si="105"/>
        <v>91.225961538461533</v>
      </c>
      <c r="L294" s="131">
        <f t="shared" si="106"/>
        <v>0.61538461538461542</v>
      </c>
      <c r="M294" s="58">
        <f t="shared" si="100"/>
        <v>0.91930114942528707</v>
      </c>
      <c r="N294" s="58">
        <f t="shared" si="110"/>
        <v>1.2652644230769134E-2</v>
      </c>
      <c r="O294" s="58">
        <f t="shared" si="108"/>
        <v>6.3800000000000008</v>
      </c>
      <c r="P294" s="58">
        <f>(A294-B294)*(Equations!$H$69*$Q$240+C294)</f>
        <v>7.8523076923076927</v>
      </c>
      <c r="Q294" s="58">
        <f>(A294-B294)*(Equations!$H$69*$R$240+C294)</f>
        <v>4.907692307692308</v>
      </c>
    </row>
    <row r="295" spans="1:17">
      <c r="A295" s="58">
        <f t="shared" si="97"/>
        <v>22</v>
      </c>
      <c r="B295" s="61">
        <f t="shared" si="111"/>
        <v>9.9423076923076916</v>
      </c>
      <c r="C295" s="59">
        <f t="shared" si="101"/>
        <v>0.2</v>
      </c>
      <c r="D295" s="64">
        <f>B240</f>
        <v>72.582399999999993</v>
      </c>
      <c r="E295" s="57">
        <f t="shared" si="102"/>
        <v>6.0195929824561398</v>
      </c>
      <c r="F295" s="59">
        <f>Equations!$H$69+C295</f>
        <v>0.52</v>
      </c>
      <c r="G295" s="57">
        <f t="shared" si="103"/>
        <v>0.52</v>
      </c>
      <c r="H295" s="59">
        <f t="shared" si="99"/>
        <v>0.32</v>
      </c>
      <c r="I295" s="60">
        <f t="shared" si="104"/>
        <v>1.9831730769230781E-3</v>
      </c>
      <c r="J295" s="60">
        <f t="shared" si="109"/>
        <v>9.3209134615384617E-2</v>
      </c>
      <c r="K295" s="160">
        <f t="shared" si="105"/>
        <v>93.209134615384613</v>
      </c>
      <c r="L295" s="131">
        <f t="shared" si="106"/>
        <v>0.61538461538461542</v>
      </c>
      <c r="M295" s="58">
        <f t="shared" si="100"/>
        <v>0.93659883040935654</v>
      </c>
      <c r="N295" s="58">
        <f t="shared" si="110"/>
        <v>1.2434495192307701E-2</v>
      </c>
      <c r="O295" s="58">
        <f t="shared" si="108"/>
        <v>6.2700000000000005</v>
      </c>
      <c r="P295" s="58">
        <f>(A295-B295)*(Equations!$H$69*$Q$240+C295)</f>
        <v>7.7169230769230772</v>
      </c>
      <c r="Q295" s="58">
        <f>(A295-B295)*(Equations!$H$69*$R$240+C295)</f>
        <v>4.8230769230769237</v>
      </c>
    </row>
    <row r="296" spans="1:17">
      <c r="A296" s="58">
        <f t="shared" si="97"/>
        <v>22</v>
      </c>
      <c r="B296" s="61">
        <f t="shared" si="111"/>
        <v>10.153846153846155</v>
      </c>
      <c r="C296" s="59">
        <f t="shared" si="101"/>
        <v>0.2</v>
      </c>
      <c r="D296" s="64">
        <f>B240</f>
        <v>72.582399999999993</v>
      </c>
      <c r="E296" s="57">
        <f t="shared" si="102"/>
        <v>6.1270857142857142</v>
      </c>
      <c r="F296" s="59">
        <f>Equations!$H$69+C296</f>
        <v>0.52</v>
      </c>
      <c r="G296" s="57">
        <f t="shared" si="103"/>
        <v>0.52</v>
      </c>
      <c r="H296" s="59">
        <f t="shared" si="99"/>
        <v>0.32</v>
      </c>
      <c r="I296" s="60">
        <f t="shared" si="104"/>
        <v>1.983173076923095E-3</v>
      </c>
      <c r="J296" s="60">
        <f t="shared" si="109"/>
        <v>9.5192307692307715E-2</v>
      </c>
      <c r="K296" s="160">
        <f t="shared" si="105"/>
        <v>95.192307692307722</v>
      </c>
      <c r="L296" s="131">
        <f t="shared" si="106"/>
        <v>0.61538461538461542</v>
      </c>
      <c r="M296" s="58">
        <f t="shared" si="100"/>
        <v>0.95451428571428565</v>
      </c>
      <c r="N296" s="58">
        <f t="shared" si="110"/>
        <v>1.2216346153846263E-2</v>
      </c>
      <c r="O296" s="58">
        <f t="shared" si="108"/>
        <v>6.1599999999999993</v>
      </c>
      <c r="P296" s="58">
        <f>(A296-B296)*(Equations!$H$69*$Q$240+C296)</f>
        <v>7.5815384615384609</v>
      </c>
      <c r="Q296" s="58">
        <f>(A296-B296)*(Equations!$H$69*$R$240+C296)</f>
        <v>4.7384615384615385</v>
      </c>
    </row>
    <row r="297" spans="1:17">
      <c r="A297" s="58">
        <f t="shared" si="97"/>
        <v>22</v>
      </c>
      <c r="B297" s="61">
        <f t="shared" si="111"/>
        <v>10.365384615384615</v>
      </c>
      <c r="C297" s="59">
        <f t="shared" si="101"/>
        <v>0.2</v>
      </c>
      <c r="D297" s="64">
        <f>B240</f>
        <v>72.582399999999993</v>
      </c>
      <c r="E297" s="57">
        <f t="shared" si="102"/>
        <v>6.238487272727272</v>
      </c>
      <c r="F297" s="59">
        <f>Equations!$H$69+C297</f>
        <v>0.52</v>
      </c>
      <c r="G297" s="57">
        <f t="shared" si="103"/>
        <v>0.52</v>
      </c>
      <c r="H297" s="59">
        <f t="shared" si="99"/>
        <v>0.32</v>
      </c>
      <c r="I297" s="60">
        <f t="shared" si="104"/>
        <v>1.9831730769230616E-3</v>
      </c>
      <c r="J297" s="60">
        <f t="shared" si="109"/>
        <v>9.7175480769230771E-2</v>
      </c>
      <c r="K297" s="160">
        <f t="shared" si="105"/>
        <v>97.175480769230774</v>
      </c>
      <c r="L297" s="131">
        <f t="shared" si="106"/>
        <v>0.61538461538461542</v>
      </c>
      <c r="M297" s="58">
        <f t="shared" si="100"/>
        <v>0.9730812121212119</v>
      </c>
      <c r="N297" s="58">
        <f t="shared" si="110"/>
        <v>1.1998197115384523E-2</v>
      </c>
      <c r="O297" s="58">
        <f t="shared" si="108"/>
        <v>6.0500000000000007</v>
      </c>
      <c r="P297" s="58">
        <f>(A297-B297)*(Equations!$H$69*$Q$240+C297)</f>
        <v>7.4461538461538463</v>
      </c>
      <c r="Q297" s="58">
        <f>(A297-B297)*(Equations!$H$69*$R$240+C297)</f>
        <v>4.6538461538461542</v>
      </c>
    </row>
    <row r="298" spans="1:17">
      <c r="A298" s="58">
        <f t="shared" si="97"/>
        <v>22</v>
      </c>
      <c r="B298" s="61">
        <f t="shared" si="111"/>
        <v>10.576923076923077</v>
      </c>
      <c r="C298" s="59">
        <f t="shared" si="101"/>
        <v>0.2</v>
      </c>
      <c r="D298" s="64">
        <f>B240</f>
        <v>72.582399999999993</v>
      </c>
      <c r="E298" s="57">
        <f t="shared" si="102"/>
        <v>6.3540148148148141</v>
      </c>
      <c r="F298" s="59">
        <f>Equations!$H$69+C298</f>
        <v>0.52</v>
      </c>
      <c r="G298" s="57">
        <f t="shared" si="103"/>
        <v>0.52</v>
      </c>
      <c r="H298" s="59">
        <f t="shared" si="99"/>
        <v>0.32</v>
      </c>
      <c r="I298" s="60">
        <f t="shared" si="104"/>
        <v>1.9831730769230781E-3</v>
      </c>
      <c r="J298" s="60">
        <f t="shared" si="109"/>
        <v>9.9158653846153855E-2</v>
      </c>
      <c r="K298" s="160">
        <f t="shared" si="105"/>
        <v>99.158653846153854</v>
      </c>
      <c r="L298" s="131">
        <f t="shared" si="106"/>
        <v>0.61538461538461542</v>
      </c>
      <c r="M298" s="58">
        <f t="shared" si="100"/>
        <v>0.99233580246913566</v>
      </c>
      <c r="N298" s="58">
        <f t="shared" si="110"/>
        <v>1.1780048076923086E-2</v>
      </c>
      <c r="O298" s="58">
        <f t="shared" si="108"/>
        <v>5.94</v>
      </c>
      <c r="P298" s="58">
        <f>(A298-B298)*(Equations!$H$69*$Q$240+C298)</f>
        <v>7.3107692307692309</v>
      </c>
      <c r="Q298" s="58">
        <f>(A298-B298)*(Equations!$H$69*$R$240+C298)</f>
        <v>4.5692307692307699</v>
      </c>
    </row>
    <row r="299" spans="1:17">
      <c r="A299" s="58">
        <f t="shared" si="97"/>
        <v>22</v>
      </c>
      <c r="B299" s="61">
        <f t="shared" si="111"/>
        <v>10.788461538461538</v>
      </c>
      <c r="C299" s="59">
        <f t="shared" si="101"/>
        <v>0.2</v>
      </c>
      <c r="D299" s="64">
        <f>B240</f>
        <v>72.582399999999993</v>
      </c>
      <c r="E299" s="57">
        <f t="shared" si="102"/>
        <v>6.4739018867924525</v>
      </c>
      <c r="F299" s="59">
        <f>Equations!$H$69+C299</f>
        <v>0.52</v>
      </c>
      <c r="G299" s="57">
        <f t="shared" si="103"/>
        <v>0.52</v>
      </c>
      <c r="H299" s="59">
        <f t="shared" si="99"/>
        <v>0.32</v>
      </c>
      <c r="I299" s="60">
        <f t="shared" si="104"/>
        <v>1.9831730769230781E-3</v>
      </c>
      <c r="J299" s="60">
        <f t="shared" si="109"/>
        <v>0.10114182692307694</v>
      </c>
      <c r="K299" s="160">
        <f t="shared" si="105"/>
        <v>101.14182692307693</v>
      </c>
      <c r="L299" s="131">
        <f t="shared" si="106"/>
        <v>0.61538461538461542</v>
      </c>
      <c r="M299" s="58">
        <f t="shared" si="100"/>
        <v>1.0123169811320754</v>
      </c>
      <c r="N299" s="58">
        <f>I299*G299*(A299-B299)</f>
        <v>1.1561899038461547E-2</v>
      </c>
      <c r="O299" s="58">
        <f t="shared" si="108"/>
        <v>5.83</v>
      </c>
      <c r="P299" s="58">
        <f>(A299-B299)*(Equations!$H$69*$Q$240+C299)</f>
        <v>7.1753846153846155</v>
      </c>
      <c r="Q299" s="58">
        <f>(A299-B299)*(Equations!$H$69*$R$240+C299)</f>
        <v>4.4846153846153847</v>
      </c>
    </row>
    <row r="300" spans="1:17">
      <c r="A300" s="58">
        <f t="shared" si="97"/>
        <v>22</v>
      </c>
      <c r="B300" s="61">
        <f t="shared" si="111"/>
        <v>11</v>
      </c>
      <c r="C300" s="59">
        <f t="shared" si="101"/>
        <v>0.2</v>
      </c>
      <c r="D300" s="64">
        <f>B240</f>
        <v>72.582399999999993</v>
      </c>
      <c r="E300" s="57">
        <f t="shared" si="102"/>
        <v>6.5983999999999989</v>
      </c>
      <c r="F300" s="59">
        <f>Equations!$H$69+C300</f>
        <v>0.52</v>
      </c>
      <c r="G300" s="57">
        <f t="shared" si="103"/>
        <v>0.52</v>
      </c>
      <c r="H300" s="59">
        <f t="shared" si="99"/>
        <v>0.32</v>
      </c>
      <c r="I300" s="60">
        <f t="shared" si="104"/>
        <v>1.9831730769230781E-3</v>
      </c>
      <c r="J300" s="60">
        <f t="shared" si="109"/>
        <v>0.10312500000000002</v>
      </c>
      <c r="K300" s="160">
        <f t="shared" si="105"/>
        <v>103.12500000000003</v>
      </c>
      <c r="L300" s="131">
        <f t="shared" si="106"/>
        <v>0.61538461538461542</v>
      </c>
      <c r="M300" s="58">
        <f t="shared" si="100"/>
        <v>1.0330666666666664</v>
      </c>
      <c r="N300" s="58">
        <f t="shared" ref="N300:N348" si="112">I300*G300*(A300-B300)</f>
        <v>1.1343750000000008E-2</v>
      </c>
      <c r="O300" s="58">
        <f t="shared" si="108"/>
        <v>5.7200000000000006</v>
      </c>
      <c r="P300" s="58">
        <f>(A300-B300)*(Equations!$H$69*$Q$240+C300)</f>
        <v>7.04</v>
      </c>
      <c r="Q300" s="58">
        <f>(A300-B300)*(Equations!$H$69*$R$240+C300)</f>
        <v>4.4000000000000004</v>
      </c>
    </row>
    <row r="301" spans="1:17">
      <c r="A301" s="58">
        <f t="shared" si="97"/>
        <v>22</v>
      </c>
      <c r="B301" s="61">
        <f t="shared" si="111"/>
        <v>11.21153846153846</v>
      </c>
      <c r="C301" s="59">
        <f t="shared" si="101"/>
        <v>0.2</v>
      </c>
      <c r="D301" s="64">
        <f>B240</f>
        <v>72.582399999999993</v>
      </c>
      <c r="E301" s="57">
        <f t="shared" si="102"/>
        <v>6.7277803921568609</v>
      </c>
      <c r="F301" s="59">
        <f>Equations!$H$69+C301</f>
        <v>0.52</v>
      </c>
      <c r="G301" s="57">
        <f t="shared" si="103"/>
        <v>0.52</v>
      </c>
      <c r="H301" s="59">
        <f t="shared" si="99"/>
        <v>0.32</v>
      </c>
      <c r="I301" s="60">
        <f t="shared" si="104"/>
        <v>1.9831730769230616E-3</v>
      </c>
      <c r="J301" s="60">
        <f t="shared" si="109"/>
        <v>0.10510817307692308</v>
      </c>
      <c r="K301" s="160">
        <f t="shared" si="105"/>
        <v>105.10817307692308</v>
      </c>
      <c r="L301" s="131">
        <f t="shared" si="106"/>
        <v>0.61538461538461542</v>
      </c>
      <c r="M301" s="58">
        <f t="shared" si="100"/>
        <v>1.0546300653594767</v>
      </c>
      <c r="N301" s="58">
        <f t="shared" si="112"/>
        <v>1.1125600961538378E-2</v>
      </c>
      <c r="O301" s="58">
        <f t="shared" si="108"/>
        <v>5.6100000000000012</v>
      </c>
      <c r="P301" s="58">
        <f>(A301-B301)*(Equations!$H$69*$Q$240+C301)</f>
        <v>6.9046153846153855</v>
      </c>
      <c r="Q301" s="58">
        <f>(A301-B301)*(Equations!$H$69*$R$240+C301)</f>
        <v>4.315384615384616</v>
      </c>
    </row>
    <row r="302" spans="1:17">
      <c r="A302" s="58">
        <f t="shared" si="97"/>
        <v>22</v>
      </c>
      <c r="B302" s="61">
        <f t="shared" si="111"/>
        <v>11.423076923076923</v>
      </c>
      <c r="C302" s="59">
        <f t="shared" si="101"/>
        <v>0.2</v>
      </c>
      <c r="D302" s="64">
        <f>B240</f>
        <v>72.582399999999993</v>
      </c>
      <c r="E302" s="57">
        <f t="shared" si="102"/>
        <v>6.8623359999999991</v>
      </c>
      <c r="F302" s="59">
        <f>Equations!$H$69+C302</f>
        <v>0.52</v>
      </c>
      <c r="G302" s="57">
        <f t="shared" si="103"/>
        <v>0.52</v>
      </c>
      <c r="H302" s="59">
        <f t="shared" si="99"/>
        <v>0.32</v>
      </c>
      <c r="I302" s="60">
        <f t="shared" si="104"/>
        <v>1.983173076923095E-3</v>
      </c>
      <c r="J302" s="60">
        <f t="shared" si="109"/>
        <v>0.10709134615384618</v>
      </c>
      <c r="K302" s="160">
        <f t="shared" si="105"/>
        <v>107.09134615384617</v>
      </c>
      <c r="L302" s="131">
        <f t="shared" si="106"/>
        <v>0.61538461538461542</v>
      </c>
      <c r="M302" s="58">
        <f t="shared" si="100"/>
        <v>1.0770559999999998</v>
      </c>
      <c r="N302" s="58">
        <f t="shared" si="112"/>
        <v>1.0907451923077021E-2</v>
      </c>
      <c r="O302" s="58">
        <f t="shared" si="108"/>
        <v>5.5</v>
      </c>
      <c r="P302" s="58">
        <f>(A302-B302)*(Equations!$H$69*$Q$240+C302)</f>
        <v>6.7692307692307692</v>
      </c>
      <c r="Q302" s="58">
        <f>(A302-B302)*(Equations!$H$69*$R$240+C302)</f>
        <v>4.2307692307692308</v>
      </c>
    </row>
    <row r="303" spans="1:17">
      <c r="A303" s="58">
        <f t="shared" si="97"/>
        <v>22</v>
      </c>
      <c r="B303" s="61">
        <f t="shared" si="111"/>
        <v>11.634615384615385</v>
      </c>
      <c r="C303" s="59">
        <f t="shared" si="101"/>
        <v>0.2</v>
      </c>
      <c r="D303" s="64">
        <f>B240</f>
        <v>72.582399999999993</v>
      </c>
      <c r="E303" s="57">
        <f t="shared" si="102"/>
        <v>7.0023836734693869</v>
      </c>
      <c r="F303" s="59">
        <f>Equations!$H$69+C303</f>
        <v>0.52</v>
      </c>
      <c r="G303" s="57">
        <f t="shared" si="103"/>
        <v>0.52</v>
      </c>
      <c r="H303" s="59">
        <f t="shared" si="99"/>
        <v>0.32</v>
      </c>
      <c r="I303" s="60">
        <f t="shared" si="104"/>
        <v>1.9831730769230781E-3</v>
      </c>
      <c r="J303" s="60">
        <f t="shared" si="109"/>
        <v>0.10907451923076926</v>
      </c>
      <c r="K303" s="160">
        <f t="shared" si="105"/>
        <v>109.07451923076925</v>
      </c>
      <c r="L303" s="131">
        <f t="shared" si="106"/>
        <v>0.61538461538461542</v>
      </c>
      <c r="M303" s="58">
        <f t="shared" si="100"/>
        <v>1.1003972789115644</v>
      </c>
      <c r="N303" s="58">
        <f t="shared" si="112"/>
        <v>1.0689302884615391E-2</v>
      </c>
      <c r="O303" s="58">
        <f t="shared" si="108"/>
        <v>5.39</v>
      </c>
      <c r="P303" s="58">
        <f>(A303-B303)*(Equations!$H$69*$Q$240+C303)</f>
        <v>6.6338461538461537</v>
      </c>
      <c r="Q303" s="58">
        <f>(A303-B303)*(Equations!$H$69*$R$240+C303)</f>
        <v>4.1461538461538465</v>
      </c>
    </row>
    <row r="304" spans="1:17">
      <c r="A304" s="58">
        <f t="shared" si="97"/>
        <v>22</v>
      </c>
      <c r="B304" s="61">
        <f t="shared" si="111"/>
        <v>11.846153846153845</v>
      </c>
      <c r="C304" s="59">
        <f t="shared" si="101"/>
        <v>0.2</v>
      </c>
      <c r="D304" s="64">
        <f>B240</f>
        <v>72.582399999999993</v>
      </c>
      <c r="E304" s="57">
        <f t="shared" si="102"/>
        <v>7.1482666666666654</v>
      </c>
      <c r="F304" s="59">
        <f>Equations!$H$69+C304</f>
        <v>0.52</v>
      </c>
      <c r="G304" s="57">
        <f t="shared" si="103"/>
        <v>0.52</v>
      </c>
      <c r="H304" s="59">
        <f t="shared" si="99"/>
        <v>0.32</v>
      </c>
      <c r="I304" s="60">
        <f t="shared" si="104"/>
        <v>1.9831730769230616E-3</v>
      </c>
      <c r="J304" s="60">
        <f t="shared" si="109"/>
        <v>0.11105769230769232</v>
      </c>
      <c r="K304" s="160">
        <f t="shared" si="105"/>
        <v>111.05769230769232</v>
      </c>
      <c r="L304" s="131">
        <f t="shared" si="106"/>
        <v>0.61538461538461542</v>
      </c>
      <c r="M304" s="58">
        <f t="shared" si="100"/>
        <v>1.1247111111111108</v>
      </c>
      <c r="N304" s="58">
        <f t="shared" si="112"/>
        <v>1.0471153846153767E-2</v>
      </c>
      <c r="O304" s="58">
        <f t="shared" si="108"/>
        <v>5.2800000000000011</v>
      </c>
      <c r="P304" s="58">
        <f>(A304-B304)*(Equations!$H$69*$Q$240+C304)</f>
        <v>6.4984615384615392</v>
      </c>
      <c r="Q304" s="58">
        <f>(A304-B304)*(Equations!$H$69*$R$240+C304)</f>
        <v>4.0615384615384622</v>
      </c>
    </row>
    <row r="305" spans="1:17">
      <c r="A305" s="58">
        <f t="shared" si="97"/>
        <v>22</v>
      </c>
      <c r="B305" s="61">
        <f t="shared" si="111"/>
        <v>12.057692307692308</v>
      </c>
      <c r="C305" s="59">
        <f t="shared" si="101"/>
        <v>0.2</v>
      </c>
      <c r="D305" s="64">
        <f>B240</f>
        <v>72.582399999999993</v>
      </c>
      <c r="E305" s="57">
        <f t="shared" si="102"/>
        <v>7.3003574468085102</v>
      </c>
      <c r="F305" s="59">
        <f>Equations!$H$69+C305</f>
        <v>0.52</v>
      </c>
      <c r="G305" s="57">
        <f t="shared" si="103"/>
        <v>0.52</v>
      </c>
      <c r="H305" s="59">
        <f t="shared" si="99"/>
        <v>0.32</v>
      </c>
      <c r="I305" s="60">
        <f t="shared" si="104"/>
        <v>1.983173076923095E-3</v>
      </c>
      <c r="J305" s="60">
        <f t="shared" si="109"/>
        <v>0.11304086538461541</v>
      </c>
      <c r="K305" s="160">
        <f t="shared" si="105"/>
        <v>113.04086538461542</v>
      </c>
      <c r="L305" s="131">
        <f t="shared" si="106"/>
        <v>0.61538461538461542</v>
      </c>
      <c r="M305" s="58">
        <f t="shared" si="100"/>
        <v>1.150059574468085</v>
      </c>
      <c r="N305" s="58">
        <f t="shared" si="112"/>
        <v>1.02530048076924E-2</v>
      </c>
      <c r="O305" s="58">
        <f t="shared" si="108"/>
        <v>5.17</v>
      </c>
      <c r="P305" s="58">
        <f>(A305-B305)*(Equations!$H$69*$Q$240+C305)</f>
        <v>6.3630769230769229</v>
      </c>
      <c r="Q305" s="58">
        <f>(A305-B305)*(Equations!$H$69*$R$240+C305)</f>
        <v>3.976923076923077</v>
      </c>
    </row>
    <row r="306" spans="1:17">
      <c r="A306" s="58">
        <f t="shared" si="97"/>
        <v>22</v>
      </c>
      <c r="B306" s="61">
        <f t="shared" si="111"/>
        <v>12.26923076923077</v>
      </c>
      <c r="C306" s="59">
        <f t="shared" si="101"/>
        <v>0.2</v>
      </c>
      <c r="D306" s="64">
        <f>B240</f>
        <v>72.582399999999993</v>
      </c>
      <c r="E306" s="57">
        <f t="shared" si="102"/>
        <v>7.4590608695652172</v>
      </c>
      <c r="F306" s="59">
        <f>Equations!$H$69+C306</f>
        <v>0.52</v>
      </c>
      <c r="G306" s="57">
        <f t="shared" si="103"/>
        <v>0.52</v>
      </c>
      <c r="H306" s="59">
        <f t="shared" si="99"/>
        <v>0.32</v>
      </c>
      <c r="I306" s="60">
        <f t="shared" si="104"/>
        <v>1.9831730769230781E-3</v>
      </c>
      <c r="J306" s="60">
        <f t="shared" si="109"/>
        <v>0.1150240384615385</v>
      </c>
      <c r="K306" s="160">
        <f t="shared" si="105"/>
        <v>115.0240384615385</v>
      </c>
      <c r="L306" s="131">
        <f t="shared" si="106"/>
        <v>0.61538461538461542</v>
      </c>
      <c r="M306" s="58">
        <f t="shared" si="100"/>
        <v>1.1765101449275361</v>
      </c>
      <c r="N306" s="58">
        <f t="shared" si="112"/>
        <v>1.0034855769230775E-2</v>
      </c>
      <c r="O306" s="58">
        <f t="shared" si="108"/>
        <v>5.0599999999999996</v>
      </c>
      <c r="P306" s="58">
        <f>(A306-B306)*(Equations!$H$69*$Q$240+C306)</f>
        <v>6.2276923076923074</v>
      </c>
      <c r="Q306" s="58">
        <f>(A306-B306)*(Equations!$H$69*$R$240+C306)</f>
        <v>3.8923076923076922</v>
      </c>
    </row>
    <row r="307" spans="1:17">
      <c r="A307" s="58">
        <f t="shared" si="97"/>
        <v>22</v>
      </c>
      <c r="B307" s="61">
        <f t="shared" si="111"/>
        <v>12.48076923076923</v>
      </c>
      <c r="C307" s="59">
        <f t="shared" si="101"/>
        <v>0.2</v>
      </c>
      <c r="D307" s="64">
        <f>B240</f>
        <v>72.582399999999993</v>
      </c>
      <c r="E307" s="57">
        <f t="shared" si="102"/>
        <v>7.6248177777777766</v>
      </c>
      <c r="F307" s="59">
        <f>Equations!$H$69+C307</f>
        <v>0.52</v>
      </c>
      <c r="G307" s="57">
        <f t="shared" si="103"/>
        <v>0.52</v>
      </c>
      <c r="H307" s="59">
        <f t="shared" si="99"/>
        <v>0.32</v>
      </c>
      <c r="I307" s="60">
        <f t="shared" si="104"/>
        <v>1.9831730769230616E-3</v>
      </c>
      <c r="J307" s="60">
        <f t="shared" si="109"/>
        <v>0.11700721153846155</v>
      </c>
      <c r="K307" s="160">
        <f t="shared" si="105"/>
        <v>117.00721153846155</v>
      </c>
      <c r="L307" s="131">
        <f t="shared" si="106"/>
        <v>0.61538461538461542</v>
      </c>
      <c r="M307" s="58">
        <f t="shared" si="100"/>
        <v>1.204136296296296</v>
      </c>
      <c r="N307" s="58">
        <f t="shared" si="112"/>
        <v>9.816706730769155E-3</v>
      </c>
      <c r="O307" s="58">
        <f t="shared" si="108"/>
        <v>4.95</v>
      </c>
      <c r="P307" s="58">
        <f>(A307-B307)*(Equations!$H$69*$Q$240+C307)</f>
        <v>6.0923076923076929</v>
      </c>
      <c r="Q307" s="58">
        <f>(A307-B307)*(Equations!$H$69*$R$240+C307)</f>
        <v>3.8076923076923084</v>
      </c>
    </row>
    <row r="308" spans="1:17">
      <c r="A308" s="58">
        <f t="shared" si="97"/>
        <v>22</v>
      </c>
      <c r="B308" s="61">
        <f t="shared" si="111"/>
        <v>12.692307692307692</v>
      </c>
      <c r="C308" s="59">
        <f t="shared" si="101"/>
        <v>0.2</v>
      </c>
      <c r="D308" s="64">
        <f>B240</f>
        <v>72.582399999999993</v>
      </c>
      <c r="E308" s="57">
        <f t="shared" si="102"/>
        <v>7.7981090909090893</v>
      </c>
      <c r="F308" s="59">
        <f>Equations!$H$69+C308</f>
        <v>0.52</v>
      </c>
      <c r="G308" s="57">
        <f t="shared" si="103"/>
        <v>0.52</v>
      </c>
      <c r="H308" s="59">
        <f t="shared" si="99"/>
        <v>0.32</v>
      </c>
      <c r="I308" s="60">
        <f t="shared" si="104"/>
        <v>1.9831730769230781E-3</v>
      </c>
      <c r="J308" s="60">
        <f t="shared" si="109"/>
        <v>0.11899038461538464</v>
      </c>
      <c r="K308" s="160">
        <f t="shared" si="105"/>
        <v>118.99038461538464</v>
      </c>
      <c r="L308" s="131">
        <f t="shared" si="106"/>
        <v>0.61538461538461542</v>
      </c>
      <c r="M308" s="58">
        <f t="shared" si="100"/>
        <v>1.2330181818181813</v>
      </c>
      <c r="N308" s="58">
        <f t="shared" si="112"/>
        <v>9.5985576923076996E-3</v>
      </c>
      <c r="O308" s="58">
        <f t="shared" si="108"/>
        <v>4.8400000000000007</v>
      </c>
      <c r="P308" s="58">
        <f>(A308-B308)*(Equations!$H$69*$Q$240+C308)</f>
        <v>5.9569230769230774</v>
      </c>
      <c r="Q308" s="58">
        <f>(A308-B308)*(Equations!$H$69*$R$240+C308)</f>
        <v>3.7230769230769236</v>
      </c>
    </row>
    <row r="309" spans="1:17">
      <c r="A309" s="58">
        <f t="shared" si="97"/>
        <v>22</v>
      </c>
      <c r="B309" s="61">
        <f t="shared" si="111"/>
        <v>12.903846153846155</v>
      </c>
      <c r="C309" s="59">
        <f t="shared" si="101"/>
        <v>0.2</v>
      </c>
      <c r="D309" s="64">
        <f>B240</f>
        <v>72.582399999999993</v>
      </c>
      <c r="E309" s="57">
        <f t="shared" si="102"/>
        <v>7.9794604651162793</v>
      </c>
      <c r="F309" s="59">
        <f>Equations!$H$69+C309</f>
        <v>0.52</v>
      </c>
      <c r="G309" s="57">
        <f t="shared" si="103"/>
        <v>0.52</v>
      </c>
      <c r="H309" s="59">
        <f t="shared" si="99"/>
        <v>0.32</v>
      </c>
      <c r="I309" s="60">
        <f t="shared" si="104"/>
        <v>1.983173076923095E-3</v>
      </c>
      <c r="J309" s="60">
        <f t="shared" si="109"/>
        <v>0.12097355769230773</v>
      </c>
      <c r="K309" s="160">
        <f t="shared" si="105"/>
        <v>120.97355769230774</v>
      </c>
      <c r="L309" s="131">
        <f t="shared" si="106"/>
        <v>0.61538461538461542</v>
      </c>
      <c r="M309" s="58">
        <f t="shared" si="100"/>
        <v>1.2632434108527131</v>
      </c>
      <c r="N309" s="58">
        <f t="shared" si="112"/>
        <v>9.3804086538462374E-3</v>
      </c>
      <c r="O309" s="58">
        <f t="shared" si="108"/>
        <v>4.7299999999999995</v>
      </c>
      <c r="P309" s="58">
        <f>(A309-B309)*(Equations!$H$69*$Q$240+C309)</f>
        <v>5.8215384615384611</v>
      </c>
      <c r="Q309" s="58">
        <f>(A309-B309)*(Equations!$H$69*$R$240+C309)</f>
        <v>3.638461538461538</v>
      </c>
    </row>
    <row r="310" spans="1:17">
      <c r="A310" s="58">
        <f t="shared" si="97"/>
        <v>22</v>
      </c>
      <c r="B310" s="61">
        <f t="shared" si="111"/>
        <v>13.115384615384615</v>
      </c>
      <c r="C310" s="59">
        <f t="shared" si="101"/>
        <v>0.2</v>
      </c>
      <c r="D310" s="64">
        <f>B240</f>
        <v>72.582399999999993</v>
      </c>
      <c r="E310" s="57">
        <f t="shared" si="102"/>
        <v>8.1694476190476184</v>
      </c>
      <c r="F310" s="59">
        <f>Equations!$H$69+C310</f>
        <v>0.52</v>
      </c>
      <c r="G310" s="57">
        <f t="shared" si="103"/>
        <v>0.52</v>
      </c>
      <c r="H310" s="59">
        <f t="shared" si="99"/>
        <v>0.32</v>
      </c>
      <c r="I310" s="60">
        <f t="shared" si="104"/>
        <v>1.9831730769230616E-3</v>
      </c>
      <c r="J310" s="60">
        <f t="shared" si="109"/>
        <v>0.12295673076923079</v>
      </c>
      <c r="K310" s="160">
        <f t="shared" si="105"/>
        <v>122.95673076923079</v>
      </c>
      <c r="L310" s="131">
        <f t="shared" si="106"/>
        <v>0.61538461538461542</v>
      </c>
      <c r="M310" s="58">
        <f t="shared" si="100"/>
        <v>1.2949079365079363</v>
      </c>
      <c r="N310" s="58">
        <f t="shared" si="112"/>
        <v>9.1622596153845444E-3</v>
      </c>
      <c r="O310" s="58">
        <f t="shared" si="108"/>
        <v>4.62</v>
      </c>
      <c r="P310" s="58">
        <f>(A310-B310)*(Equations!$H$69*$Q$240+C310)</f>
        <v>5.6861538461538466</v>
      </c>
      <c r="Q310" s="58">
        <f>(A310-B310)*(Equations!$H$69*$R$240+C310)</f>
        <v>3.5538461538461541</v>
      </c>
    </row>
    <row r="311" spans="1:17">
      <c r="A311" s="58">
        <f t="shared" si="97"/>
        <v>22</v>
      </c>
      <c r="B311" s="61">
        <f t="shared" si="111"/>
        <v>13.326923076923077</v>
      </c>
      <c r="C311" s="59">
        <f t="shared" si="101"/>
        <v>0.2</v>
      </c>
      <c r="D311" s="64">
        <f>B240</f>
        <v>72.582399999999993</v>
      </c>
      <c r="E311" s="57">
        <f t="shared" si="102"/>
        <v>8.3687024390243892</v>
      </c>
      <c r="F311" s="59">
        <f>Equations!$H$69+C311</f>
        <v>0.52</v>
      </c>
      <c r="G311" s="57">
        <f t="shared" si="103"/>
        <v>0.52</v>
      </c>
      <c r="H311" s="59">
        <f t="shared" si="99"/>
        <v>0.32</v>
      </c>
      <c r="I311" s="60">
        <f t="shared" si="104"/>
        <v>1.9831730769230781E-3</v>
      </c>
      <c r="J311" s="60">
        <f t="shared" si="109"/>
        <v>0.12493990384615387</v>
      </c>
      <c r="K311" s="160">
        <f t="shared" si="105"/>
        <v>124.93990384615387</v>
      </c>
      <c r="L311" s="131">
        <f t="shared" si="106"/>
        <v>0.61538461538461542</v>
      </c>
      <c r="M311" s="58">
        <f t="shared" si="100"/>
        <v>1.3281170731707315</v>
      </c>
      <c r="N311" s="58">
        <f t="shared" si="112"/>
        <v>8.9441105769230839E-3</v>
      </c>
      <c r="O311" s="58">
        <f t="shared" si="108"/>
        <v>4.5100000000000007</v>
      </c>
      <c r="P311" s="58">
        <f>(A311-B311)*(Equations!$H$69*$Q$240+C311)</f>
        <v>5.5507692307692311</v>
      </c>
      <c r="Q311" s="58">
        <f>(A311-B311)*(Equations!$H$69*$R$240+C311)</f>
        <v>3.4692307692307693</v>
      </c>
    </row>
    <row r="312" spans="1:17">
      <c r="A312" s="58">
        <f t="shared" ref="A312:A352" si="113">VINMAX</f>
        <v>22</v>
      </c>
      <c r="B312" s="61">
        <f t="shared" ref="B312:B343" si="114">VINMAX*((ROW()-248)/104)</f>
        <v>13.53846153846154</v>
      </c>
      <c r="C312" s="59">
        <f t="shared" si="101"/>
        <v>0.2</v>
      </c>
      <c r="D312" s="64">
        <f>B240</f>
        <v>72.582399999999993</v>
      </c>
      <c r="E312" s="57">
        <f t="shared" si="102"/>
        <v>8.5779200000000007</v>
      </c>
      <c r="F312" s="59">
        <f>Equations!$H$69+C312</f>
        <v>0.52</v>
      </c>
      <c r="G312" s="57">
        <f t="shared" si="103"/>
        <v>0.52</v>
      </c>
      <c r="H312" s="59">
        <f t="shared" ref="H312:H348" si="115">G312-C312</f>
        <v>0.32</v>
      </c>
      <c r="I312" s="60">
        <f t="shared" si="104"/>
        <v>1.983173076923095E-3</v>
      </c>
      <c r="J312" s="60">
        <f t="shared" si="109"/>
        <v>0.12692307692307697</v>
      </c>
      <c r="K312" s="160">
        <f t="shared" si="105"/>
        <v>126.92307692307698</v>
      </c>
      <c r="L312" s="131">
        <f t="shared" si="106"/>
        <v>0.61538461538461542</v>
      </c>
      <c r="M312" s="58">
        <f t="shared" ref="M312:M352" si="116">1/COUTMAX*(E312/2-C312)*1000</f>
        <v>1.3629866666666666</v>
      </c>
      <c r="N312" s="58">
        <f t="shared" si="112"/>
        <v>8.7259615384616164E-3</v>
      </c>
      <c r="O312" s="58">
        <f t="shared" si="108"/>
        <v>4.3999999999999995</v>
      </c>
      <c r="P312" s="58">
        <f>(A312-B312)*(Equations!$H$69*$Q$240+C312)</f>
        <v>5.4153846153846148</v>
      </c>
      <c r="Q312" s="58">
        <f>(A312-B312)*(Equations!$H$69*$R$240+C312)</f>
        <v>3.3846153846153841</v>
      </c>
    </row>
    <row r="313" spans="1:17">
      <c r="A313" s="58">
        <f t="shared" si="113"/>
        <v>22</v>
      </c>
      <c r="B313" s="61">
        <f t="shared" si="114"/>
        <v>13.75</v>
      </c>
      <c r="C313" s="59">
        <f t="shared" ref="C313:C352" si="117">IF(B313&gt;=$H$240,IF($D$240="CC", $G$240, B313/$G$240), 0)</f>
        <v>0.2</v>
      </c>
      <c r="D313" s="64">
        <f>B240</f>
        <v>72.582399999999993</v>
      </c>
      <c r="E313" s="57">
        <f t="shared" ref="E313:E348" si="118">MIN(D313/(A313-B313),$C$240)</f>
        <v>8.7978666666666658</v>
      </c>
      <c r="F313" s="59">
        <f>Equations!$H$69+C313</f>
        <v>0.52</v>
      </c>
      <c r="G313" s="57">
        <f t="shared" ref="G313:G352" si="119">IF($F$240="Soft Start", F313, E313)</f>
        <v>0.52</v>
      </c>
      <c r="H313" s="59">
        <f t="shared" si="115"/>
        <v>0.32</v>
      </c>
      <c r="I313" s="60">
        <f t="shared" ref="I313:I348" si="120">(COUTMAX/1000000)*(B313-B312)/H313</f>
        <v>1.9831730769230616E-3</v>
      </c>
      <c r="J313" s="60">
        <f t="shared" si="109"/>
        <v>0.12890625000000003</v>
      </c>
      <c r="K313" s="160">
        <f t="shared" ref="K313:K352" si="121">J313*1000</f>
        <v>128.90625000000003</v>
      </c>
      <c r="L313" s="131">
        <f t="shared" ref="L313:L348" si="122">H313/G313</f>
        <v>0.61538461538461542</v>
      </c>
      <c r="M313" s="58">
        <f t="shared" si="116"/>
        <v>1.3996444444444442</v>
      </c>
      <c r="N313" s="58">
        <f t="shared" si="112"/>
        <v>8.5078124999999338E-3</v>
      </c>
      <c r="O313" s="58">
        <f t="shared" ref="O313:O352" si="123">G313*(A313-B313)</f>
        <v>4.29</v>
      </c>
      <c r="P313" s="58">
        <f>(A313-B313)*(Equations!$H$69*$Q$240+C313)</f>
        <v>5.28</v>
      </c>
      <c r="Q313" s="58">
        <f>(A313-B313)*(Equations!$H$69*$R$240+C313)</f>
        <v>3.3000000000000003</v>
      </c>
    </row>
    <row r="314" spans="1:17">
      <c r="A314" s="58">
        <f t="shared" si="113"/>
        <v>22</v>
      </c>
      <c r="B314" s="61">
        <f t="shared" si="114"/>
        <v>13.96153846153846</v>
      </c>
      <c r="C314" s="59">
        <f t="shared" si="117"/>
        <v>0.2</v>
      </c>
      <c r="D314" s="64">
        <f>B240</f>
        <v>72.582399999999993</v>
      </c>
      <c r="E314" s="57">
        <f t="shared" si="118"/>
        <v>9.0293894736842084</v>
      </c>
      <c r="F314" s="59">
        <f>Equations!$H$69+C314</f>
        <v>0.52</v>
      </c>
      <c r="G314" s="57">
        <f t="shared" si="119"/>
        <v>0.52</v>
      </c>
      <c r="H314" s="59">
        <f t="shared" si="115"/>
        <v>0.32</v>
      </c>
      <c r="I314" s="60">
        <f t="shared" si="120"/>
        <v>1.9831730769230616E-3</v>
      </c>
      <c r="J314" s="60">
        <f t="shared" ref="J314:J348" si="124">J313+I314</f>
        <v>0.13088942307692308</v>
      </c>
      <c r="K314" s="160">
        <f t="shared" si="121"/>
        <v>130.88942307692309</v>
      </c>
      <c r="L314" s="131">
        <f t="shared" si="122"/>
        <v>0.61538461538461542</v>
      </c>
      <c r="M314" s="58">
        <f t="shared" si="116"/>
        <v>1.4382315789473681</v>
      </c>
      <c r="N314" s="58">
        <f t="shared" si="112"/>
        <v>8.2896634615383987E-3</v>
      </c>
      <c r="O314" s="58">
        <f t="shared" si="123"/>
        <v>4.1800000000000006</v>
      </c>
      <c r="P314" s="58">
        <f>(A314-B314)*(Equations!$H$69*$Q$240+C314)</f>
        <v>5.1446153846153857</v>
      </c>
      <c r="Q314" s="58">
        <f>(A314-B314)*(Equations!$H$69*$R$240+C314)</f>
        <v>3.2153846153846164</v>
      </c>
    </row>
    <row r="315" spans="1:17">
      <c r="A315" s="58">
        <f t="shared" si="113"/>
        <v>22</v>
      </c>
      <c r="B315" s="61">
        <f t="shared" si="114"/>
        <v>14.173076923076923</v>
      </c>
      <c r="C315" s="59">
        <f t="shared" si="117"/>
        <v>0.2</v>
      </c>
      <c r="D315" s="64">
        <f>B240</f>
        <v>72.582399999999993</v>
      </c>
      <c r="E315" s="57">
        <f t="shared" si="118"/>
        <v>9.2734270270270258</v>
      </c>
      <c r="F315" s="59">
        <f>Equations!$H$69+C315</f>
        <v>0.52</v>
      </c>
      <c r="G315" s="57">
        <f t="shared" si="119"/>
        <v>0.52</v>
      </c>
      <c r="H315" s="59">
        <f t="shared" si="115"/>
        <v>0.32</v>
      </c>
      <c r="I315" s="60">
        <f t="shared" si="120"/>
        <v>1.983173076923095E-3</v>
      </c>
      <c r="J315" s="60">
        <f t="shared" si="124"/>
        <v>0.13287259615384617</v>
      </c>
      <c r="K315" s="160">
        <f t="shared" si="121"/>
        <v>132.87259615384616</v>
      </c>
      <c r="L315" s="131">
        <f t="shared" si="122"/>
        <v>0.61538461538461542</v>
      </c>
      <c r="M315" s="58">
        <f t="shared" si="116"/>
        <v>1.4789045045045042</v>
      </c>
      <c r="N315" s="58">
        <f t="shared" si="112"/>
        <v>8.0715144230769954E-3</v>
      </c>
      <c r="O315" s="58">
        <f t="shared" si="123"/>
        <v>4.07</v>
      </c>
      <c r="P315" s="58">
        <f>(A315-B315)*(Equations!$H$69*$Q$240+C315)</f>
        <v>5.0092307692307694</v>
      </c>
      <c r="Q315" s="58">
        <f>(A315-B315)*(Equations!$H$69*$R$240+C315)</f>
        <v>3.1307692307692307</v>
      </c>
    </row>
    <row r="316" spans="1:17">
      <c r="A316" s="58">
        <f t="shared" si="113"/>
        <v>22</v>
      </c>
      <c r="B316" s="61">
        <f t="shared" si="114"/>
        <v>14.384615384615385</v>
      </c>
      <c r="C316" s="59">
        <f t="shared" si="117"/>
        <v>0.2</v>
      </c>
      <c r="D316" s="64">
        <f>B240</f>
        <v>72.582399999999993</v>
      </c>
      <c r="E316" s="57">
        <f t="shared" si="118"/>
        <v>9.5310222222222212</v>
      </c>
      <c r="F316" s="59">
        <f>Equations!$H$69+C316</f>
        <v>0.52</v>
      </c>
      <c r="G316" s="57">
        <f t="shared" si="119"/>
        <v>0.52</v>
      </c>
      <c r="H316" s="59">
        <f t="shared" si="115"/>
        <v>0.32</v>
      </c>
      <c r="I316" s="60">
        <f t="shared" si="120"/>
        <v>1.9831730769230781E-3</v>
      </c>
      <c r="J316" s="60">
        <f t="shared" si="124"/>
        <v>0.13485576923076925</v>
      </c>
      <c r="K316" s="160">
        <f t="shared" si="121"/>
        <v>134.85576923076925</v>
      </c>
      <c r="L316" s="131">
        <f t="shared" si="122"/>
        <v>0.61538461538461542</v>
      </c>
      <c r="M316" s="58">
        <f t="shared" si="116"/>
        <v>1.5218370370370367</v>
      </c>
      <c r="N316" s="58">
        <f t="shared" si="112"/>
        <v>7.8533653846153892E-3</v>
      </c>
      <c r="O316" s="58">
        <f t="shared" si="123"/>
        <v>3.96</v>
      </c>
      <c r="P316" s="58">
        <f>(A316-B316)*(Equations!$H$69*$Q$240+C316)</f>
        <v>4.8738461538461539</v>
      </c>
      <c r="Q316" s="58">
        <f>(A316-B316)*(Equations!$H$69*$R$240+C316)</f>
        <v>3.046153846153846</v>
      </c>
    </row>
    <row r="317" spans="1:17">
      <c r="A317" s="58">
        <f t="shared" si="113"/>
        <v>22</v>
      </c>
      <c r="B317" s="61">
        <f t="shared" si="114"/>
        <v>14.596153846153845</v>
      </c>
      <c r="C317" s="59">
        <f t="shared" si="117"/>
        <v>0.2</v>
      </c>
      <c r="D317" s="64">
        <f>B240</f>
        <v>72.582399999999993</v>
      </c>
      <c r="E317" s="57">
        <f t="shared" si="118"/>
        <v>9.8033371428571403</v>
      </c>
      <c r="F317" s="59">
        <f>Equations!$H$69+C317</f>
        <v>0.52</v>
      </c>
      <c r="G317" s="57">
        <f t="shared" si="119"/>
        <v>0.52</v>
      </c>
      <c r="H317" s="59">
        <f t="shared" si="115"/>
        <v>0.32</v>
      </c>
      <c r="I317" s="60">
        <f t="shared" si="120"/>
        <v>1.9831730769230616E-3</v>
      </c>
      <c r="J317" s="60">
        <f t="shared" si="124"/>
        <v>0.13683894230769231</v>
      </c>
      <c r="K317" s="160">
        <f t="shared" si="121"/>
        <v>136.83894230769232</v>
      </c>
      <c r="L317" s="131">
        <f t="shared" si="122"/>
        <v>0.61538461538461542</v>
      </c>
      <c r="M317" s="58">
        <f t="shared" si="116"/>
        <v>1.5672228571428566</v>
      </c>
      <c r="N317" s="58">
        <f t="shared" si="112"/>
        <v>7.6352163461537882E-3</v>
      </c>
      <c r="O317" s="58">
        <f t="shared" si="123"/>
        <v>3.850000000000001</v>
      </c>
      <c r="P317" s="58">
        <f>(A317-B317)*(Equations!$H$69*$Q$240+C317)</f>
        <v>4.7384615384615394</v>
      </c>
      <c r="Q317" s="58">
        <f>(A317-B317)*(Equations!$H$69*$R$240+C317)</f>
        <v>2.9615384615384621</v>
      </c>
    </row>
    <row r="318" spans="1:17">
      <c r="A318" s="58">
        <f t="shared" si="113"/>
        <v>22</v>
      </c>
      <c r="B318" s="61">
        <f t="shared" si="114"/>
        <v>14.807692307692308</v>
      </c>
      <c r="C318" s="59">
        <f t="shared" si="117"/>
        <v>0.2</v>
      </c>
      <c r="D318" s="64">
        <f>B240</f>
        <v>72.582399999999993</v>
      </c>
      <c r="E318" s="57">
        <f t="shared" si="118"/>
        <v>10.091670588235294</v>
      </c>
      <c r="F318" s="59">
        <f>Equations!$H$69+C318</f>
        <v>0.52</v>
      </c>
      <c r="G318" s="57">
        <f t="shared" si="119"/>
        <v>0.52</v>
      </c>
      <c r="H318" s="59">
        <f t="shared" si="115"/>
        <v>0.32</v>
      </c>
      <c r="I318" s="60">
        <f t="shared" si="120"/>
        <v>1.983173076923095E-3</v>
      </c>
      <c r="J318" s="60">
        <f t="shared" si="124"/>
        <v>0.13882211538461539</v>
      </c>
      <c r="K318" s="160">
        <f t="shared" si="121"/>
        <v>138.82211538461539</v>
      </c>
      <c r="L318" s="131">
        <f t="shared" si="122"/>
        <v>0.61538461538461542</v>
      </c>
      <c r="M318" s="58">
        <f t="shared" si="116"/>
        <v>1.615278431372549</v>
      </c>
      <c r="N318" s="58">
        <f t="shared" si="112"/>
        <v>7.4170673076923745E-3</v>
      </c>
      <c r="O318" s="58">
        <f t="shared" si="123"/>
        <v>3.7399999999999998</v>
      </c>
      <c r="P318" s="58">
        <f>(A318-B318)*(Equations!$H$69*$Q$240+C318)</f>
        <v>4.6030769230769231</v>
      </c>
      <c r="Q318" s="58">
        <f>(A318-B318)*(Equations!$H$69*$R$240+C318)</f>
        <v>2.8769230769230769</v>
      </c>
    </row>
    <row r="319" spans="1:17">
      <c r="A319" s="58">
        <f t="shared" si="113"/>
        <v>22</v>
      </c>
      <c r="B319" s="61">
        <f t="shared" si="114"/>
        <v>15.01923076923077</v>
      </c>
      <c r="C319" s="59">
        <f t="shared" si="117"/>
        <v>0.2</v>
      </c>
      <c r="D319" s="64">
        <f>B240</f>
        <v>72.582399999999993</v>
      </c>
      <c r="E319" s="57">
        <f t="shared" si="118"/>
        <v>10.397478787878788</v>
      </c>
      <c r="F319" s="59">
        <f>Equations!$H$69+C319</f>
        <v>0.52</v>
      </c>
      <c r="G319" s="57">
        <f t="shared" si="119"/>
        <v>0.52</v>
      </c>
      <c r="H319" s="59">
        <f t="shared" si="115"/>
        <v>0.32</v>
      </c>
      <c r="I319" s="60">
        <f t="shared" si="120"/>
        <v>1.9831730769230781E-3</v>
      </c>
      <c r="J319" s="60">
        <f t="shared" si="124"/>
        <v>0.14080528846153847</v>
      </c>
      <c r="K319" s="160">
        <f t="shared" si="121"/>
        <v>140.80528846153848</v>
      </c>
      <c r="L319" s="131">
        <f t="shared" si="122"/>
        <v>0.61538461538461542</v>
      </c>
      <c r="M319" s="58">
        <f t="shared" si="116"/>
        <v>1.6662464646464645</v>
      </c>
      <c r="N319" s="58">
        <f t="shared" si="112"/>
        <v>7.1989182692307734E-3</v>
      </c>
      <c r="O319" s="58">
        <f t="shared" si="123"/>
        <v>3.63</v>
      </c>
      <c r="P319" s="58">
        <f>(A319-B319)*(Equations!$H$69*$Q$240+C319)</f>
        <v>4.4676923076923076</v>
      </c>
      <c r="Q319" s="58">
        <f>(A319-B319)*(Equations!$H$69*$R$240+C319)</f>
        <v>2.7923076923076922</v>
      </c>
    </row>
    <row r="320" spans="1:17">
      <c r="A320" s="58">
        <f t="shared" si="113"/>
        <v>22</v>
      </c>
      <c r="B320" s="61">
        <f t="shared" si="114"/>
        <v>15.23076923076923</v>
      </c>
      <c r="C320" s="59">
        <f t="shared" si="117"/>
        <v>0.2</v>
      </c>
      <c r="D320" s="64">
        <f>B240</f>
        <v>72.582399999999993</v>
      </c>
      <c r="E320" s="57">
        <f t="shared" si="118"/>
        <v>10.722399999999997</v>
      </c>
      <c r="F320" s="59">
        <f>Equations!$H$69+C320</f>
        <v>0.52</v>
      </c>
      <c r="G320" s="57">
        <f t="shared" si="119"/>
        <v>0.52</v>
      </c>
      <c r="H320" s="59">
        <f t="shared" si="115"/>
        <v>0.32</v>
      </c>
      <c r="I320" s="60">
        <f t="shared" si="120"/>
        <v>1.9831730769230616E-3</v>
      </c>
      <c r="J320" s="60">
        <f t="shared" si="124"/>
        <v>0.14278846153846153</v>
      </c>
      <c r="K320" s="160">
        <f t="shared" si="121"/>
        <v>142.78846153846152</v>
      </c>
      <c r="L320" s="131">
        <f t="shared" si="122"/>
        <v>0.61538461538461542</v>
      </c>
      <c r="M320" s="58">
        <f t="shared" si="116"/>
        <v>1.7203999999999993</v>
      </c>
      <c r="N320" s="58">
        <f t="shared" si="112"/>
        <v>6.9807692307691776E-3</v>
      </c>
      <c r="O320" s="58">
        <f t="shared" si="123"/>
        <v>3.5200000000000005</v>
      </c>
      <c r="P320" s="58">
        <f>(A320-B320)*(Equations!$H$69*$Q$240+C320)</f>
        <v>4.3323076923076931</v>
      </c>
      <c r="Q320" s="58">
        <f>(A320-B320)*(Equations!$H$69*$R$240+C320)</f>
        <v>2.7076923076923083</v>
      </c>
    </row>
    <row r="321" spans="1:17">
      <c r="A321" s="58">
        <f t="shared" si="113"/>
        <v>22</v>
      </c>
      <c r="B321" s="61">
        <f t="shared" si="114"/>
        <v>15.442307692307692</v>
      </c>
      <c r="C321" s="59">
        <f t="shared" si="117"/>
        <v>0.2</v>
      </c>
      <c r="D321" s="64">
        <f>B240</f>
        <v>72.582399999999993</v>
      </c>
      <c r="E321" s="57">
        <f t="shared" si="118"/>
        <v>11.06828387096774</v>
      </c>
      <c r="F321" s="59">
        <f>Equations!$H$69+C321</f>
        <v>0.52</v>
      </c>
      <c r="G321" s="57">
        <f t="shared" si="119"/>
        <v>0.52</v>
      </c>
      <c r="H321" s="59">
        <f t="shared" si="115"/>
        <v>0.32</v>
      </c>
      <c r="I321" s="60">
        <f t="shared" si="120"/>
        <v>1.9831730769230781E-3</v>
      </c>
      <c r="J321" s="60">
        <f t="shared" si="124"/>
        <v>0.14477163461538461</v>
      </c>
      <c r="K321" s="160">
        <f t="shared" si="121"/>
        <v>144.77163461538461</v>
      </c>
      <c r="L321" s="131">
        <f t="shared" si="122"/>
        <v>0.61538461538461542</v>
      </c>
      <c r="M321" s="58">
        <f t="shared" si="116"/>
        <v>1.7780473118279565</v>
      </c>
      <c r="N321" s="58">
        <f t="shared" si="112"/>
        <v>6.762620192307698E-3</v>
      </c>
      <c r="O321" s="58">
        <f t="shared" si="123"/>
        <v>3.4100000000000006</v>
      </c>
      <c r="P321" s="58">
        <f>(A321-B321)*(Equations!$H$69*$Q$240+C321)</f>
        <v>4.1969230769230776</v>
      </c>
      <c r="Q321" s="58">
        <f>(A321-B321)*(Equations!$H$69*$R$240+C321)</f>
        <v>2.6230769230769235</v>
      </c>
    </row>
    <row r="322" spans="1:17">
      <c r="A322" s="58">
        <f t="shared" si="113"/>
        <v>22</v>
      </c>
      <c r="B322" s="61">
        <f t="shared" si="114"/>
        <v>15.653846153846155</v>
      </c>
      <c r="C322" s="59">
        <f t="shared" si="117"/>
        <v>0.2</v>
      </c>
      <c r="D322" s="64">
        <f>B240</f>
        <v>72.582399999999993</v>
      </c>
      <c r="E322" s="57">
        <f t="shared" si="118"/>
        <v>11.437226666666668</v>
      </c>
      <c r="F322" s="59">
        <f>Equations!$H$69+C322</f>
        <v>0.52</v>
      </c>
      <c r="G322" s="57">
        <f t="shared" si="119"/>
        <v>0.52</v>
      </c>
      <c r="H322" s="59">
        <f t="shared" si="115"/>
        <v>0.32</v>
      </c>
      <c r="I322" s="60">
        <f t="shared" si="120"/>
        <v>1.983173076923095E-3</v>
      </c>
      <c r="J322" s="60">
        <f t="shared" si="124"/>
        <v>0.1467548076923077</v>
      </c>
      <c r="K322" s="160">
        <f t="shared" si="121"/>
        <v>146.75480769230771</v>
      </c>
      <c r="L322" s="131">
        <f t="shared" si="122"/>
        <v>0.61538461538461542</v>
      </c>
      <c r="M322" s="58">
        <f t="shared" si="116"/>
        <v>1.8395377777777777</v>
      </c>
      <c r="N322" s="58">
        <f t="shared" si="112"/>
        <v>6.5444711538462123E-3</v>
      </c>
      <c r="O322" s="58">
        <f t="shared" si="123"/>
        <v>3.2999999999999994</v>
      </c>
      <c r="P322" s="58">
        <f>(A322-B322)*(Equations!$H$69*$Q$240+C322)</f>
        <v>4.0615384615384604</v>
      </c>
      <c r="Q322" s="58">
        <f>(A322-B322)*(Equations!$H$69*$R$240+C322)</f>
        <v>2.5384615384615383</v>
      </c>
    </row>
    <row r="323" spans="1:17">
      <c r="A323" s="58">
        <f t="shared" si="113"/>
        <v>22</v>
      </c>
      <c r="B323" s="61">
        <f t="shared" si="114"/>
        <v>15.865384615384615</v>
      </c>
      <c r="C323" s="59">
        <f t="shared" si="117"/>
        <v>0.2</v>
      </c>
      <c r="D323" s="64">
        <f>B240</f>
        <v>72.582399999999993</v>
      </c>
      <c r="E323" s="57">
        <f t="shared" si="118"/>
        <v>11.831613793103447</v>
      </c>
      <c r="F323" s="59">
        <f>Equations!$H$69+C323</f>
        <v>0.52</v>
      </c>
      <c r="G323" s="57">
        <f t="shared" si="119"/>
        <v>0.52</v>
      </c>
      <c r="H323" s="59">
        <f t="shared" si="115"/>
        <v>0.32</v>
      </c>
      <c r="I323" s="60">
        <f t="shared" si="120"/>
        <v>1.9831730769230616E-3</v>
      </c>
      <c r="J323" s="60">
        <f t="shared" si="124"/>
        <v>0.14873798076923075</v>
      </c>
      <c r="K323" s="160">
        <f t="shared" si="121"/>
        <v>148.73798076923075</v>
      </c>
      <c r="L323" s="131">
        <f t="shared" si="122"/>
        <v>0.61538461538461542</v>
      </c>
      <c r="M323" s="58">
        <f t="shared" si="116"/>
        <v>1.905268965517241</v>
      </c>
      <c r="N323" s="58">
        <f t="shared" si="112"/>
        <v>6.326322115384567E-3</v>
      </c>
      <c r="O323" s="58">
        <f t="shared" si="123"/>
        <v>3.1900000000000004</v>
      </c>
      <c r="P323" s="58">
        <f>(A323-B323)*(Equations!$H$69*$Q$240+C323)</f>
        <v>3.9261538461538463</v>
      </c>
      <c r="Q323" s="58">
        <f>(A323-B323)*(Equations!$H$69*$R$240+C323)</f>
        <v>2.453846153846154</v>
      </c>
    </row>
    <row r="324" spans="1:17">
      <c r="A324" s="58">
        <f t="shared" si="113"/>
        <v>22</v>
      </c>
      <c r="B324" s="61">
        <f t="shared" si="114"/>
        <v>16.076923076923077</v>
      </c>
      <c r="C324" s="59">
        <f t="shared" si="117"/>
        <v>0.2</v>
      </c>
      <c r="D324" s="64">
        <f>B240</f>
        <v>72.582399999999993</v>
      </c>
      <c r="E324" s="57">
        <f t="shared" si="118"/>
        <v>12.254171428571427</v>
      </c>
      <c r="F324" s="59">
        <f>Equations!$H$69+C324</f>
        <v>0.52</v>
      </c>
      <c r="G324" s="57">
        <f t="shared" si="119"/>
        <v>0.52</v>
      </c>
      <c r="H324" s="59">
        <f t="shared" si="115"/>
        <v>0.32</v>
      </c>
      <c r="I324" s="60">
        <f t="shared" si="120"/>
        <v>1.9831730769230781E-3</v>
      </c>
      <c r="J324" s="60">
        <f t="shared" si="124"/>
        <v>0.15072115384615384</v>
      </c>
      <c r="K324" s="160">
        <f t="shared" si="121"/>
        <v>150.72115384615384</v>
      </c>
      <c r="L324" s="131">
        <f t="shared" si="122"/>
        <v>0.61538461538461542</v>
      </c>
      <c r="M324" s="58">
        <f t="shared" si="116"/>
        <v>1.9756952380952375</v>
      </c>
      <c r="N324" s="58">
        <f t="shared" si="112"/>
        <v>6.1081730769230813E-3</v>
      </c>
      <c r="O324" s="58">
        <f t="shared" si="123"/>
        <v>3.08</v>
      </c>
      <c r="P324" s="58">
        <f>(A324-B324)*(Equations!$H$69*$Q$240+C324)</f>
        <v>3.7907692307692309</v>
      </c>
      <c r="Q324" s="58">
        <f>(A324-B324)*(Equations!$H$69*$R$240+C324)</f>
        <v>2.3692307692307693</v>
      </c>
    </row>
    <row r="325" spans="1:17">
      <c r="A325" s="58">
        <f t="shared" si="113"/>
        <v>22</v>
      </c>
      <c r="B325" s="61">
        <f t="shared" si="114"/>
        <v>16.28846153846154</v>
      </c>
      <c r="C325" s="59">
        <f t="shared" si="117"/>
        <v>0.2</v>
      </c>
      <c r="D325" s="64">
        <f>B240</f>
        <v>72.582399999999993</v>
      </c>
      <c r="E325" s="57">
        <f t="shared" si="118"/>
        <v>12.708029629629632</v>
      </c>
      <c r="F325" s="59">
        <f>Equations!$H$69+C325</f>
        <v>0.52</v>
      </c>
      <c r="G325" s="57">
        <f t="shared" si="119"/>
        <v>0.52</v>
      </c>
      <c r="H325" s="59">
        <f t="shared" si="115"/>
        <v>0.32</v>
      </c>
      <c r="I325" s="60">
        <f t="shared" si="120"/>
        <v>1.983173076923095E-3</v>
      </c>
      <c r="J325" s="60">
        <f t="shared" si="124"/>
        <v>0.15270432692307692</v>
      </c>
      <c r="K325" s="160">
        <f t="shared" si="121"/>
        <v>152.70432692307693</v>
      </c>
      <c r="L325" s="131">
        <f t="shared" si="122"/>
        <v>0.61538461538461542</v>
      </c>
      <c r="M325" s="58">
        <f t="shared" si="116"/>
        <v>2.0513382716049384</v>
      </c>
      <c r="N325" s="58">
        <f t="shared" si="112"/>
        <v>5.8900240384615905E-3</v>
      </c>
      <c r="O325" s="58">
        <f t="shared" si="123"/>
        <v>2.9699999999999993</v>
      </c>
      <c r="P325" s="58">
        <f>(A325-B325)*(Equations!$H$69*$Q$240+C325)</f>
        <v>3.6553846153846146</v>
      </c>
      <c r="Q325" s="58">
        <f>(A325-B325)*(Equations!$H$69*$R$240+C325)</f>
        <v>2.284615384615384</v>
      </c>
    </row>
    <row r="326" spans="1:17">
      <c r="A326" s="58">
        <f t="shared" si="113"/>
        <v>22</v>
      </c>
      <c r="B326" s="61">
        <f t="shared" si="114"/>
        <v>16.5</v>
      </c>
      <c r="C326" s="59">
        <f t="shared" si="117"/>
        <v>0.2</v>
      </c>
      <c r="D326" s="64">
        <f>B240</f>
        <v>72.582399999999993</v>
      </c>
      <c r="E326" s="57">
        <f t="shared" si="118"/>
        <v>13.196799999999998</v>
      </c>
      <c r="F326" s="59">
        <f>Equations!$H$69+C326</f>
        <v>0.52</v>
      </c>
      <c r="G326" s="57">
        <f t="shared" si="119"/>
        <v>0.52</v>
      </c>
      <c r="H326" s="59">
        <f t="shared" si="115"/>
        <v>0.32</v>
      </c>
      <c r="I326" s="60">
        <f t="shared" si="120"/>
        <v>1.9831730769230616E-3</v>
      </c>
      <c r="J326" s="60">
        <f t="shared" si="124"/>
        <v>0.15468749999999998</v>
      </c>
      <c r="K326" s="160">
        <f t="shared" si="121"/>
        <v>154.68749999999997</v>
      </c>
      <c r="L326" s="131">
        <f t="shared" si="122"/>
        <v>0.61538461538461542</v>
      </c>
      <c r="M326" s="58">
        <f t="shared" si="116"/>
        <v>2.1327999999999996</v>
      </c>
      <c r="N326" s="58">
        <f t="shared" si="112"/>
        <v>5.6718749999999565E-3</v>
      </c>
      <c r="O326" s="58">
        <f t="shared" si="123"/>
        <v>2.8600000000000003</v>
      </c>
      <c r="P326" s="58">
        <f>(A326-B326)*(Equations!$H$69*$Q$240+C326)</f>
        <v>3.52</v>
      </c>
      <c r="Q326" s="58">
        <f>(A326-B326)*(Equations!$H$69*$R$240+C326)</f>
        <v>2.2000000000000002</v>
      </c>
    </row>
    <row r="327" spans="1:17">
      <c r="A327" s="58">
        <f t="shared" si="113"/>
        <v>22</v>
      </c>
      <c r="B327" s="61">
        <f t="shared" si="114"/>
        <v>16.71153846153846</v>
      </c>
      <c r="C327" s="59">
        <f t="shared" si="117"/>
        <v>0.2</v>
      </c>
      <c r="D327" s="64">
        <f>B240</f>
        <v>72.582399999999993</v>
      </c>
      <c r="E327" s="57">
        <f t="shared" si="118"/>
        <v>13.724671999999995</v>
      </c>
      <c r="F327" s="59">
        <f>Equations!$H$69+C327</f>
        <v>0.52</v>
      </c>
      <c r="G327" s="57">
        <f t="shared" si="119"/>
        <v>0.52</v>
      </c>
      <c r="H327" s="59">
        <f t="shared" si="115"/>
        <v>0.32</v>
      </c>
      <c r="I327" s="60">
        <f t="shared" si="120"/>
        <v>1.9831730769230616E-3</v>
      </c>
      <c r="J327" s="60">
        <f t="shared" si="124"/>
        <v>0.15667067307692303</v>
      </c>
      <c r="K327" s="160">
        <f t="shared" si="121"/>
        <v>156.67067307692304</v>
      </c>
      <c r="L327" s="131">
        <f t="shared" si="122"/>
        <v>0.61538461538461542</v>
      </c>
      <c r="M327" s="58">
        <f t="shared" si="116"/>
        <v>2.2207786666666656</v>
      </c>
      <c r="N327" s="58">
        <f t="shared" si="112"/>
        <v>5.4537259615384213E-3</v>
      </c>
      <c r="O327" s="58">
        <f t="shared" si="123"/>
        <v>2.7500000000000009</v>
      </c>
      <c r="P327" s="58">
        <f>(A327-B327)*(Equations!$H$69*$Q$240+C327)</f>
        <v>3.3846153846153859</v>
      </c>
      <c r="Q327" s="58">
        <f>(A327-B327)*(Equations!$H$69*$R$240+C327)</f>
        <v>2.1153846153846163</v>
      </c>
    </row>
    <row r="328" spans="1:17">
      <c r="A328" s="58">
        <f t="shared" si="113"/>
        <v>22</v>
      </c>
      <c r="B328" s="61">
        <f t="shared" si="114"/>
        <v>16.923076923076923</v>
      </c>
      <c r="C328" s="59">
        <f t="shared" si="117"/>
        <v>0.2</v>
      </c>
      <c r="D328" s="64">
        <f>B240</f>
        <v>72.582399999999993</v>
      </c>
      <c r="E328" s="57">
        <f t="shared" si="118"/>
        <v>14.296533333333333</v>
      </c>
      <c r="F328" s="59">
        <f>Equations!$H$69+C328</f>
        <v>0.52</v>
      </c>
      <c r="G328" s="57">
        <f t="shared" si="119"/>
        <v>0.52</v>
      </c>
      <c r="H328" s="59">
        <f t="shared" si="115"/>
        <v>0.32</v>
      </c>
      <c r="I328" s="60">
        <f t="shared" si="120"/>
        <v>1.983173076923095E-3</v>
      </c>
      <c r="J328" s="60">
        <f t="shared" si="124"/>
        <v>0.15865384615384612</v>
      </c>
      <c r="K328" s="160">
        <f t="shared" si="121"/>
        <v>158.6538461538461</v>
      </c>
      <c r="L328" s="131">
        <f t="shared" si="122"/>
        <v>0.61538461538461542</v>
      </c>
      <c r="M328" s="58">
        <f t="shared" si="116"/>
        <v>2.3160888888888889</v>
      </c>
      <c r="N328" s="58">
        <f t="shared" si="112"/>
        <v>5.2355769230769704E-3</v>
      </c>
      <c r="O328" s="58">
        <f t="shared" si="123"/>
        <v>2.64</v>
      </c>
      <c r="P328" s="58">
        <f>(A328-B328)*(Equations!$H$69*$Q$240+C328)</f>
        <v>3.2492307692307691</v>
      </c>
      <c r="Q328" s="58">
        <f>(A328-B328)*(Equations!$H$69*$R$240+C328)</f>
        <v>2.0307692307692307</v>
      </c>
    </row>
    <row r="329" spans="1:17">
      <c r="A329" s="58">
        <f t="shared" si="113"/>
        <v>22</v>
      </c>
      <c r="B329" s="61">
        <f t="shared" si="114"/>
        <v>17.134615384615383</v>
      </c>
      <c r="C329" s="59">
        <f t="shared" si="117"/>
        <v>0.2</v>
      </c>
      <c r="D329" s="64">
        <f>B240</f>
        <v>72.582399999999993</v>
      </c>
      <c r="E329" s="57">
        <f t="shared" si="118"/>
        <v>14.918121739130429</v>
      </c>
      <c r="F329" s="59">
        <f>Equations!$H$69+C329</f>
        <v>0.52</v>
      </c>
      <c r="G329" s="57">
        <f t="shared" si="119"/>
        <v>0.52</v>
      </c>
      <c r="H329" s="59">
        <f t="shared" si="115"/>
        <v>0.32</v>
      </c>
      <c r="I329" s="60">
        <f t="shared" si="120"/>
        <v>1.9831730769230616E-3</v>
      </c>
      <c r="J329" s="60">
        <f t="shared" si="124"/>
        <v>0.16063701923076917</v>
      </c>
      <c r="K329" s="160">
        <f t="shared" si="121"/>
        <v>160.63701923076917</v>
      </c>
      <c r="L329" s="131">
        <f t="shared" si="122"/>
        <v>0.61538461538461542</v>
      </c>
      <c r="M329" s="58">
        <f t="shared" si="116"/>
        <v>2.4196869565217378</v>
      </c>
      <c r="N329" s="58">
        <f t="shared" si="112"/>
        <v>5.0174278846153476E-3</v>
      </c>
      <c r="O329" s="58">
        <f t="shared" si="123"/>
        <v>2.5300000000000007</v>
      </c>
      <c r="P329" s="58">
        <f>(A329-B329)*(Equations!$H$69*$Q$240+C329)</f>
        <v>3.1138461538461546</v>
      </c>
      <c r="Q329" s="58">
        <f>(A329-B329)*(Equations!$H$69*$R$240+C329)</f>
        <v>1.9461538461538468</v>
      </c>
    </row>
    <row r="330" spans="1:17">
      <c r="A330" s="58">
        <f t="shared" si="113"/>
        <v>22</v>
      </c>
      <c r="B330" s="61">
        <f t="shared" si="114"/>
        <v>17.346153846153847</v>
      </c>
      <c r="C330" s="59">
        <f t="shared" si="117"/>
        <v>0.2</v>
      </c>
      <c r="D330" s="64">
        <f>B240</f>
        <v>72.582399999999993</v>
      </c>
      <c r="E330" s="57">
        <f t="shared" si="118"/>
        <v>15.596218181818182</v>
      </c>
      <c r="F330" s="59">
        <f>Equations!$H$69+C330</f>
        <v>0.52</v>
      </c>
      <c r="G330" s="57">
        <f t="shared" si="119"/>
        <v>0.52</v>
      </c>
      <c r="H330" s="59">
        <f t="shared" si="115"/>
        <v>0.32</v>
      </c>
      <c r="I330" s="60">
        <f t="shared" si="120"/>
        <v>1.983173076923095E-3</v>
      </c>
      <c r="J330" s="60">
        <f t="shared" si="124"/>
        <v>0.16262019230769226</v>
      </c>
      <c r="K330" s="160">
        <f t="shared" si="121"/>
        <v>162.62019230769226</v>
      </c>
      <c r="L330" s="131">
        <f t="shared" si="122"/>
        <v>0.61538461538461542</v>
      </c>
      <c r="M330" s="58">
        <f t="shared" si="116"/>
        <v>2.5327030303030305</v>
      </c>
      <c r="N330" s="58">
        <f t="shared" si="112"/>
        <v>4.7992788461538888E-3</v>
      </c>
      <c r="O330" s="58">
        <f t="shared" si="123"/>
        <v>2.42</v>
      </c>
      <c r="P330" s="58">
        <f>(A330-B330)*(Equations!$H$69*$Q$240+C330)</f>
        <v>2.9784615384615383</v>
      </c>
      <c r="Q330" s="58">
        <f>(A330-B330)*(Equations!$H$69*$R$240+C330)</f>
        <v>1.8615384615384614</v>
      </c>
    </row>
    <row r="331" spans="1:17">
      <c r="A331" s="58">
        <f t="shared" si="113"/>
        <v>22</v>
      </c>
      <c r="B331" s="61">
        <f t="shared" si="114"/>
        <v>17.55769230769231</v>
      </c>
      <c r="C331" s="59">
        <f t="shared" si="117"/>
        <v>0.2</v>
      </c>
      <c r="D331" s="64">
        <f>B240</f>
        <v>72.582399999999993</v>
      </c>
      <c r="E331" s="57">
        <f t="shared" si="118"/>
        <v>16.338895238095244</v>
      </c>
      <c r="F331" s="59">
        <f>Equations!$H$69+C331</f>
        <v>0.52</v>
      </c>
      <c r="G331" s="57">
        <f t="shared" si="119"/>
        <v>0.52</v>
      </c>
      <c r="H331" s="59">
        <f t="shared" si="115"/>
        <v>0.32</v>
      </c>
      <c r="I331" s="60">
        <f t="shared" si="120"/>
        <v>1.983173076923095E-3</v>
      </c>
      <c r="J331" s="60">
        <f t="shared" si="124"/>
        <v>0.16460336538461534</v>
      </c>
      <c r="K331" s="160">
        <f t="shared" si="121"/>
        <v>164.60336538461533</v>
      </c>
      <c r="L331" s="131">
        <f t="shared" si="122"/>
        <v>0.61538461538461542</v>
      </c>
      <c r="M331" s="58">
        <f t="shared" si="116"/>
        <v>2.6564825396825404</v>
      </c>
      <c r="N331" s="58">
        <f t="shared" si="112"/>
        <v>4.5811298076923468E-3</v>
      </c>
      <c r="O331" s="58">
        <f t="shared" si="123"/>
        <v>2.3099999999999987</v>
      </c>
      <c r="P331" s="58">
        <f>(A331-B331)*(Equations!$H$69*$Q$240+C331)</f>
        <v>2.8430769230769215</v>
      </c>
      <c r="Q331" s="58">
        <f>(A331-B331)*(Equations!$H$69*$R$240+C331)</f>
        <v>1.7769230769230759</v>
      </c>
    </row>
    <row r="332" spans="1:17">
      <c r="A332" s="58">
        <f t="shared" si="113"/>
        <v>22</v>
      </c>
      <c r="B332" s="61">
        <f t="shared" si="114"/>
        <v>17.76923076923077</v>
      </c>
      <c r="C332" s="59">
        <f t="shared" si="117"/>
        <v>0.2</v>
      </c>
      <c r="D332" s="64">
        <f>B240</f>
        <v>72.582399999999993</v>
      </c>
      <c r="E332" s="57">
        <f t="shared" si="118"/>
        <v>17.155840000000001</v>
      </c>
      <c r="F332" s="59">
        <f>Equations!$H$69+C332</f>
        <v>0.52</v>
      </c>
      <c r="G332" s="57">
        <f t="shared" si="119"/>
        <v>0.52</v>
      </c>
      <c r="H332" s="59">
        <f t="shared" si="115"/>
        <v>0.32</v>
      </c>
      <c r="I332" s="60">
        <f t="shared" si="120"/>
        <v>1.9831730769230616E-3</v>
      </c>
      <c r="J332" s="60">
        <f t="shared" si="124"/>
        <v>0.1665865384615384</v>
      </c>
      <c r="K332" s="160">
        <f t="shared" si="121"/>
        <v>166.5865384615384</v>
      </c>
      <c r="L332" s="131">
        <f t="shared" si="122"/>
        <v>0.61538461538461542</v>
      </c>
      <c r="M332" s="58">
        <f t="shared" si="116"/>
        <v>2.7926400000000005</v>
      </c>
      <c r="N332" s="58">
        <f t="shared" si="112"/>
        <v>4.3629807692307345E-3</v>
      </c>
      <c r="O332" s="58">
        <f t="shared" si="123"/>
        <v>2.1999999999999997</v>
      </c>
      <c r="P332" s="58">
        <f>(A332-B332)*(Equations!$H$69*$Q$240+C332)</f>
        <v>2.7076923076923074</v>
      </c>
      <c r="Q332" s="58">
        <f>(A332-B332)*(Equations!$H$69*$R$240+C332)</f>
        <v>1.6923076923076921</v>
      </c>
    </row>
    <row r="333" spans="1:17">
      <c r="A333" s="58">
        <f t="shared" si="113"/>
        <v>22</v>
      </c>
      <c r="B333" s="61">
        <f t="shared" si="114"/>
        <v>17.98076923076923</v>
      </c>
      <c r="C333" s="59">
        <f t="shared" si="117"/>
        <v>0.2</v>
      </c>
      <c r="D333" s="64">
        <f>B240</f>
        <v>72.582399999999993</v>
      </c>
      <c r="E333" s="57">
        <f t="shared" si="118"/>
        <v>18.058778947368417</v>
      </c>
      <c r="F333" s="59">
        <f>Equations!$H$69+C333</f>
        <v>0.52</v>
      </c>
      <c r="G333" s="57">
        <f t="shared" si="119"/>
        <v>0.52</v>
      </c>
      <c r="H333" s="59">
        <f t="shared" si="115"/>
        <v>0.32</v>
      </c>
      <c r="I333" s="60">
        <f t="shared" si="120"/>
        <v>1.9831730769230616E-3</v>
      </c>
      <c r="J333" s="60">
        <f t="shared" si="124"/>
        <v>0.16856971153846145</v>
      </c>
      <c r="K333" s="160">
        <f t="shared" si="121"/>
        <v>168.56971153846146</v>
      </c>
      <c r="L333" s="131">
        <f t="shared" si="122"/>
        <v>0.61538461538461542</v>
      </c>
      <c r="M333" s="58">
        <f t="shared" si="116"/>
        <v>2.943129824561403</v>
      </c>
      <c r="N333" s="58">
        <f t="shared" si="112"/>
        <v>4.1448317307691994E-3</v>
      </c>
      <c r="O333" s="58">
        <f t="shared" si="123"/>
        <v>2.0900000000000003</v>
      </c>
      <c r="P333" s="58">
        <f>(A333-B333)*(Equations!$H$69*$Q$240+C333)</f>
        <v>2.5723076923076929</v>
      </c>
      <c r="Q333" s="58">
        <f>(A333-B333)*(Equations!$H$69*$R$240+C333)</f>
        <v>1.6076923076923082</v>
      </c>
    </row>
    <row r="334" spans="1:17">
      <c r="A334" s="58">
        <f t="shared" si="113"/>
        <v>22</v>
      </c>
      <c r="B334" s="61">
        <f t="shared" si="114"/>
        <v>18.19230769230769</v>
      </c>
      <c r="C334" s="59">
        <f t="shared" si="117"/>
        <v>0.2</v>
      </c>
      <c r="D334" s="64">
        <f>B240</f>
        <v>72.582399999999993</v>
      </c>
      <c r="E334" s="57">
        <f t="shared" si="118"/>
        <v>19.062044444444432</v>
      </c>
      <c r="F334" s="59">
        <f>Equations!$H$69+C334</f>
        <v>0.52</v>
      </c>
      <c r="G334" s="57">
        <f t="shared" si="119"/>
        <v>0.52</v>
      </c>
      <c r="H334" s="59">
        <f t="shared" si="115"/>
        <v>0.32</v>
      </c>
      <c r="I334" s="60">
        <f t="shared" si="120"/>
        <v>1.9831730769230616E-3</v>
      </c>
      <c r="J334" s="60">
        <f t="shared" si="124"/>
        <v>0.17055288461538451</v>
      </c>
      <c r="K334" s="160">
        <f t="shared" si="121"/>
        <v>170.5528846153845</v>
      </c>
      <c r="L334" s="131">
        <f t="shared" si="122"/>
        <v>0.61538461538461542</v>
      </c>
      <c r="M334" s="58">
        <f t="shared" si="116"/>
        <v>3.1103407407407389</v>
      </c>
      <c r="N334" s="58">
        <f t="shared" si="112"/>
        <v>3.9266826923076642E-3</v>
      </c>
      <c r="O334" s="58">
        <f t="shared" si="123"/>
        <v>1.9800000000000013</v>
      </c>
      <c r="P334" s="58">
        <f>(A334-B334)*(Equations!$H$69*$Q$240+C334)</f>
        <v>2.4369230769230787</v>
      </c>
      <c r="Q334" s="58">
        <f>(A334-B334)*(Equations!$H$69*$R$240+C334)</f>
        <v>1.5230769230769241</v>
      </c>
    </row>
    <row r="335" spans="1:17">
      <c r="A335" s="58">
        <f t="shared" si="113"/>
        <v>22</v>
      </c>
      <c r="B335" s="61">
        <f t="shared" si="114"/>
        <v>18.403846153846153</v>
      </c>
      <c r="C335" s="59">
        <f t="shared" si="117"/>
        <v>0.2</v>
      </c>
      <c r="D335" s="64">
        <f>B240</f>
        <v>72.582399999999993</v>
      </c>
      <c r="E335" s="57">
        <f t="shared" si="118"/>
        <v>20.183341176470584</v>
      </c>
      <c r="F335" s="59">
        <f>Equations!$H$69+C335</f>
        <v>0.52</v>
      </c>
      <c r="G335" s="57">
        <f t="shared" si="119"/>
        <v>0.52</v>
      </c>
      <c r="H335" s="59">
        <f t="shared" si="115"/>
        <v>0.32</v>
      </c>
      <c r="I335" s="60">
        <f t="shared" si="120"/>
        <v>1.983173076923095E-3</v>
      </c>
      <c r="J335" s="60">
        <f t="shared" si="124"/>
        <v>0.17253605769230759</v>
      </c>
      <c r="K335" s="160">
        <f t="shared" si="121"/>
        <v>172.53605769230759</v>
      </c>
      <c r="L335" s="131">
        <f t="shared" si="122"/>
        <v>0.61538461538461542</v>
      </c>
      <c r="M335" s="58">
        <f t="shared" si="116"/>
        <v>3.297223529411764</v>
      </c>
      <c r="N335" s="58">
        <f t="shared" si="112"/>
        <v>3.7085336538461881E-3</v>
      </c>
      <c r="O335" s="58">
        <f t="shared" si="123"/>
        <v>1.8700000000000003</v>
      </c>
      <c r="P335" s="58">
        <f>(A335-B335)*(Equations!$H$69*$Q$240+C335)</f>
        <v>2.301538461538462</v>
      </c>
      <c r="Q335" s="58">
        <f>(A335-B335)*(Equations!$H$69*$R$240+C335)</f>
        <v>1.4384615384615387</v>
      </c>
    </row>
    <row r="336" spans="1:17">
      <c r="A336" s="58">
        <f t="shared" si="113"/>
        <v>22</v>
      </c>
      <c r="B336" s="61">
        <f t="shared" si="114"/>
        <v>18.615384615384617</v>
      </c>
      <c r="C336" s="59">
        <f t="shared" si="117"/>
        <v>0.2</v>
      </c>
      <c r="D336" s="64">
        <f>B240</f>
        <v>72.582399999999993</v>
      </c>
      <c r="E336" s="57">
        <f t="shared" si="118"/>
        <v>21.444800000000008</v>
      </c>
      <c r="F336" s="59">
        <f>Equations!$H$69+C336</f>
        <v>0.52</v>
      </c>
      <c r="G336" s="57">
        <f t="shared" si="119"/>
        <v>0.52</v>
      </c>
      <c r="H336" s="59">
        <f t="shared" si="115"/>
        <v>0.32</v>
      </c>
      <c r="I336" s="60">
        <f t="shared" si="120"/>
        <v>1.983173076923095E-3</v>
      </c>
      <c r="J336" s="60">
        <f t="shared" si="124"/>
        <v>0.17451923076923068</v>
      </c>
      <c r="K336" s="160">
        <f t="shared" si="121"/>
        <v>174.51923076923069</v>
      </c>
      <c r="L336" s="131">
        <f t="shared" si="122"/>
        <v>0.61538461538461542</v>
      </c>
      <c r="M336" s="58">
        <f t="shared" si="116"/>
        <v>3.5074666666666681</v>
      </c>
      <c r="N336" s="58">
        <f t="shared" si="112"/>
        <v>3.4903846153846456E-3</v>
      </c>
      <c r="O336" s="58">
        <f t="shared" si="123"/>
        <v>1.7599999999999993</v>
      </c>
      <c r="P336" s="58">
        <f>(A336-B336)*(Equations!$H$69*$Q$240+C336)</f>
        <v>2.1661538461538452</v>
      </c>
      <c r="Q336" s="58">
        <f>(A336-B336)*(Equations!$H$69*$R$240+C336)</f>
        <v>1.3538461538461535</v>
      </c>
    </row>
    <row r="337" spans="1:17">
      <c r="A337" s="58">
        <f t="shared" si="113"/>
        <v>22</v>
      </c>
      <c r="B337" s="61">
        <f t="shared" si="114"/>
        <v>18.826923076923077</v>
      </c>
      <c r="C337" s="59">
        <f t="shared" si="117"/>
        <v>0.2</v>
      </c>
      <c r="D337" s="64">
        <f>B240</f>
        <v>72.582399999999993</v>
      </c>
      <c r="E337" s="57">
        <f t="shared" si="118"/>
        <v>22.681999999999999</v>
      </c>
      <c r="F337" s="59">
        <f>Equations!$H$69+C337</f>
        <v>0.52</v>
      </c>
      <c r="G337" s="57">
        <f t="shared" si="119"/>
        <v>0.52</v>
      </c>
      <c r="H337" s="59">
        <f t="shared" si="115"/>
        <v>0.32</v>
      </c>
      <c r="I337" s="60">
        <f t="shared" si="120"/>
        <v>1.9831730769230616E-3</v>
      </c>
      <c r="J337" s="60">
        <f t="shared" si="124"/>
        <v>0.17650240384615373</v>
      </c>
      <c r="K337" s="160">
        <f t="shared" si="121"/>
        <v>176.50240384615373</v>
      </c>
      <c r="L337" s="131">
        <f t="shared" si="122"/>
        <v>0.61538461538461542</v>
      </c>
      <c r="M337" s="58">
        <f t="shared" si="116"/>
        <v>3.7136666666666662</v>
      </c>
      <c r="N337" s="58">
        <f t="shared" si="112"/>
        <v>3.2722355769230519E-3</v>
      </c>
      <c r="O337" s="58">
        <f t="shared" si="123"/>
        <v>1.6500000000000001</v>
      </c>
      <c r="P337" s="58">
        <f>(A337-B337)*(Equations!$H$69*$Q$240+C337)</f>
        <v>2.0307692307692311</v>
      </c>
      <c r="Q337" s="58">
        <f>(A337-B337)*(Equations!$H$69*$R$240+C337)</f>
        <v>1.2692307692307694</v>
      </c>
    </row>
    <row r="338" spans="1:17">
      <c r="A338" s="58">
        <f t="shared" si="113"/>
        <v>22</v>
      </c>
      <c r="B338" s="61">
        <f t="shared" si="114"/>
        <v>19.03846153846154</v>
      </c>
      <c r="C338" s="59">
        <f t="shared" si="117"/>
        <v>0.2</v>
      </c>
      <c r="D338" s="64">
        <f>B240</f>
        <v>72.582399999999993</v>
      </c>
      <c r="E338" s="57">
        <f t="shared" si="118"/>
        <v>22.681999999999999</v>
      </c>
      <c r="F338" s="59">
        <f>Equations!$H$69+C338</f>
        <v>0.52</v>
      </c>
      <c r="G338" s="57">
        <f t="shared" si="119"/>
        <v>0.52</v>
      </c>
      <c r="H338" s="59">
        <f t="shared" si="115"/>
        <v>0.32</v>
      </c>
      <c r="I338" s="60">
        <f t="shared" si="120"/>
        <v>1.983173076923095E-3</v>
      </c>
      <c r="J338" s="60">
        <f t="shared" si="124"/>
        <v>0.17848557692307682</v>
      </c>
      <c r="K338" s="160">
        <f t="shared" si="121"/>
        <v>178.48557692307682</v>
      </c>
      <c r="L338" s="131">
        <f t="shared" si="122"/>
        <v>0.61538461538461542</v>
      </c>
      <c r="M338" s="58">
        <f t="shared" si="116"/>
        <v>3.7136666666666662</v>
      </c>
      <c r="N338" s="58">
        <f t="shared" si="112"/>
        <v>3.0540865384615645E-3</v>
      </c>
      <c r="O338" s="58">
        <f t="shared" si="123"/>
        <v>1.5399999999999991</v>
      </c>
      <c r="P338" s="58">
        <f>(A338-B338)*(Equations!$H$69*$Q$240+C338)</f>
        <v>1.8953846153846143</v>
      </c>
      <c r="Q338" s="58">
        <f>(A338-B338)*(Equations!$H$69*$R$240+C338)</f>
        <v>1.184615384615384</v>
      </c>
    </row>
    <row r="339" spans="1:17">
      <c r="A339" s="58">
        <f t="shared" si="113"/>
        <v>22</v>
      </c>
      <c r="B339" s="61">
        <f t="shared" si="114"/>
        <v>19.25</v>
      </c>
      <c r="C339" s="59">
        <f t="shared" si="117"/>
        <v>0.2</v>
      </c>
      <c r="D339" s="64">
        <f>B240</f>
        <v>72.582399999999993</v>
      </c>
      <c r="E339" s="57">
        <f t="shared" si="118"/>
        <v>22.681999999999999</v>
      </c>
      <c r="F339" s="59">
        <f>Equations!$H$69+C339</f>
        <v>0.52</v>
      </c>
      <c r="G339" s="57">
        <f t="shared" si="119"/>
        <v>0.52</v>
      </c>
      <c r="H339" s="59">
        <f t="shared" si="115"/>
        <v>0.32</v>
      </c>
      <c r="I339" s="60">
        <f t="shared" si="120"/>
        <v>1.9831730769230616E-3</v>
      </c>
      <c r="J339" s="60">
        <f t="shared" si="124"/>
        <v>0.18046874999999987</v>
      </c>
      <c r="K339" s="160">
        <f t="shared" si="121"/>
        <v>180.46874999999989</v>
      </c>
      <c r="L339" s="131">
        <f t="shared" si="122"/>
        <v>0.61538461538461542</v>
      </c>
      <c r="M339" s="58">
        <f t="shared" si="116"/>
        <v>3.7136666666666662</v>
      </c>
      <c r="N339" s="58">
        <f t="shared" si="112"/>
        <v>2.8359374999999782E-3</v>
      </c>
      <c r="O339" s="58">
        <f t="shared" si="123"/>
        <v>1.4300000000000002</v>
      </c>
      <c r="P339" s="58">
        <f>(A339-B339)*(Equations!$H$69*$Q$240+C339)</f>
        <v>1.76</v>
      </c>
      <c r="Q339" s="58">
        <f>(A339-B339)*(Equations!$H$69*$R$240+C339)</f>
        <v>1.1000000000000001</v>
      </c>
    </row>
    <row r="340" spans="1:17">
      <c r="A340" s="58">
        <f t="shared" si="113"/>
        <v>22</v>
      </c>
      <c r="B340" s="61">
        <f t="shared" si="114"/>
        <v>19.46153846153846</v>
      </c>
      <c r="C340" s="59">
        <f t="shared" si="117"/>
        <v>0.2</v>
      </c>
      <c r="D340" s="64">
        <f>B240</f>
        <v>72.582399999999993</v>
      </c>
      <c r="E340" s="57">
        <f t="shared" si="118"/>
        <v>22.681999999999999</v>
      </c>
      <c r="F340" s="59">
        <f>Equations!$H$69+C340</f>
        <v>0.52</v>
      </c>
      <c r="G340" s="57">
        <f t="shared" si="119"/>
        <v>0.52</v>
      </c>
      <c r="H340" s="59">
        <f t="shared" si="115"/>
        <v>0.32</v>
      </c>
      <c r="I340" s="60">
        <f t="shared" si="120"/>
        <v>1.9831730769230616E-3</v>
      </c>
      <c r="J340" s="60">
        <f t="shared" si="124"/>
        <v>0.18245192307692293</v>
      </c>
      <c r="K340" s="160">
        <f t="shared" si="121"/>
        <v>182.45192307692292</v>
      </c>
      <c r="L340" s="131">
        <f t="shared" si="122"/>
        <v>0.61538461538461542</v>
      </c>
      <c r="M340" s="58">
        <f t="shared" si="116"/>
        <v>3.7136666666666662</v>
      </c>
      <c r="N340" s="58">
        <f t="shared" si="112"/>
        <v>2.6177884615384431E-3</v>
      </c>
      <c r="O340" s="58">
        <f t="shared" si="123"/>
        <v>1.320000000000001</v>
      </c>
      <c r="P340" s="58">
        <f>(A340-B340)*(Equations!$H$69*$Q$240+C340)</f>
        <v>1.6246153846153857</v>
      </c>
      <c r="Q340" s="58">
        <f>(A340-B340)*(Equations!$H$69*$R$240+C340)</f>
        <v>1.015384615384616</v>
      </c>
    </row>
    <row r="341" spans="1:17">
      <c r="A341" s="58">
        <f t="shared" si="113"/>
        <v>22</v>
      </c>
      <c r="B341" s="61">
        <f t="shared" si="114"/>
        <v>19.673076923076923</v>
      </c>
      <c r="C341" s="59">
        <f t="shared" si="117"/>
        <v>0.2</v>
      </c>
      <c r="D341" s="64">
        <f>B240</f>
        <v>72.582399999999993</v>
      </c>
      <c r="E341" s="57">
        <f t="shared" si="118"/>
        <v>22.681999999999999</v>
      </c>
      <c r="F341" s="59">
        <f>Equations!$H$69+C341</f>
        <v>0.52</v>
      </c>
      <c r="G341" s="57">
        <f t="shared" si="119"/>
        <v>0.52</v>
      </c>
      <c r="H341" s="59">
        <f t="shared" si="115"/>
        <v>0.32</v>
      </c>
      <c r="I341" s="60">
        <f t="shared" si="120"/>
        <v>1.983173076923095E-3</v>
      </c>
      <c r="J341" s="60">
        <f t="shared" si="124"/>
        <v>0.18443509615384601</v>
      </c>
      <c r="K341" s="160">
        <f t="shared" si="121"/>
        <v>184.43509615384602</v>
      </c>
      <c r="L341" s="131">
        <f t="shared" si="122"/>
        <v>0.61538461538461542</v>
      </c>
      <c r="M341" s="58">
        <f t="shared" si="116"/>
        <v>3.7136666666666662</v>
      </c>
      <c r="N341" s="58">
        <f t="shared" si="112"/>
        <v>2.3996394230769444E-3</v>
      </c>
      <c r="O341" s="58">
        <f t="shared" si="123"/>
        <v>1.21</v>
      </c>
      <c r="P341" s="58">
        <f>(A341-B341)*(Equations!$H$69*$Q$240+C341)</f>
        <v>1.4892307692307691</v>
      </c>
      <c r="Q341" s="58">
        <f>(A341-B341)*(Equations!$H$69*$R$240+C341)</f>
        <v>0.93076923076923068</v>
      </c>
    </row>
    <row r="342" spans="1:17">
      <c r="A342" s="58">
        <f t="shared" si="113"/>
        <v>22</v>
      </c>
      <c r="B342" s="61">
        <f t="shared" si="114"/>
        <v>19.884615384615383</v>
      </c>
      <c r="C342" s="59">
        <f t="shared" si="117"/>
        <v>0.2</v>
      </c>
      <c r="D342" s="64">
        <f>B240</f>
        <v>72.582399999999993</v>
      </c>
      <c r="E342" s="57">
        <f t="shared" si="118"/>
        <v>22.681999999999999</v>
      </c>
      <c r="F342" s="59">
        <f>Equations!$H$69+C342</f>
        <v>0.52</v>
      </c>
      <c r="G342" s="57">
        <f t="shared" si="119"/>
        <v>0.52</v>
      </c>
      <c r="H342" s="59">
        <f t="shared" si="115"/>
        <v>0.32</v>
      </c>
      <c r="I342" s="60">
        <f t="shared" si="120"/>
        <v>1.9831730769230616E-3</v>
      </c>
      <c r="J342" s="60">
        <f t="shared" si="124"/>
        <v>0.18641826923076907</v>
      </c>
      <c r="K342" s="160">
        <f t="shared" si="121"/>
        <v>186.41826923076906</v>
      </c>
      <c r="L342" s="131">
        <f t="shared" si="122"/>
        <v>0.61538461538461542</v>
      </c>
      <c r="M342" s="58">
        <f t="shared" si="116"/>
        <v>3.7136666666666662</v>
      </c>
      <c r="N342" s="58">
        <f t="shared" si="112"/>
        <v>2.181490384615369E-3</v>
      </c>
      <c r="O342" s="58">
        <f t="shared" si="123"/>
        <v>1.1000000000000008</v>
      </c>
      <c r="P342" s="58">
        <f>(A342-B342)*(Equations!$H$69*$Q$240+C342)</f>
        <v>1.3538461538461548</v>
      </c>
      <c r="Q342" s="58">
        <f>(A342-B342)*(Equations!$H$69*$R$240+C342)</f>
        <v>0.8461538461538467</v>
      </c>
    </row>
    <row r="343" spans="1:17">
      <c r="A343" s="58">
        <f t="shared" si="113"/>
        <v>22</v>
      </c>
      <c r="B343" s="61">
        <f t="shared" si="114"/>
        <v>20.096153846153847</v>
      </c>
      <c r="C343" s="59">
        <f t="shared" si="117"/>
        <v>0.2</v>
      </c>
      <c r="D343" s="64">
        <f>B240</f>
        <v>72.582399999999993</v>
      </c>
      <c r="E343" s="57">
        <f t="shared" si="118"/>
        <v>22.681999999999999</v>
      </c>
      <c r="F343" s="59">
        <f>Equations!$H$69+C343</f>
        <v>0.52</v>
      </c>
      <c r="G343" s="57">
        <f t="shared" si="119"/>
        <v>0.52</v>
      </c>
      <c r="H343" s="59">
        <f t="shared" si="115"/>
        <v>0.32</v>
      </c>
      <c r="I343" s="60">
        <f t="shared" si="120"/>
        <v>1.983173076923095E-3</v>
      </c>
      <c r="J343" s="60">
        <f t="shared" si="124"/>
        <v>0.18840144230769215</v>
      </c>
      <c r="K343" s="160">
        <f t="shared" si="121"/>
        <v>188.40144230769215</v>
      </c>
      <c r="L343" s="131">
        <f t="shared" si="122"/>
        <v>0.61538461538461542</v>
      </c>
      <c r="M343" s="58">
        <f t="shared" si="116"/>
        <v>3.7136666666666662</v>
      </c>
      <c r="N343" s="58">
        <f t="shared" si="112"/>
        <v>1.9633413461538633E-3</v>
      </c>
      <c r="O343" s="58">
        <f t="shared" si="123"/>
        <v>0.98999999999999977</v>
      </c>
      <c r="P343" s="58">
        <f>(A343-B343)*(Equations!$H$69*$Q$240+C343)</f>
        <v>1.218461538461538</v>
      </c>
      <c r="Q343" s="58">
        <f>(A343-B343)*(Equations!$H$69*$R$240+C343)</f>
        <v>0.76153846153846139</v>
      </c>
    </row>
    <row r="344" spans="1:17">
      <c r="A344" s="58">
        <f t="shared" si="113"/>
        <v>22</v>
      </c>
      <c r="B344" s="61">
        <f t="shared" ref="B344:B352" si="125">VINMAX*((ROW()-248)/104)</f>
        <v>20.30769230769231</v>
      </c>
      <c r="C344" s="59">
        <f t="shared" si="117"/>
        <v>0.2</v>
      </c>
      <c r="D344" s="64">
        <f>B240</f>
        <v>72.582399999999993</v>
      </c>
      <c r="E344" s="57">
        <f t="shared" si="118"/>
        <v>22.681999999999999</v>
      </c>
      <c r="F344" s="59">
        <f>Equations!$H$69+C344</f>
        <v>0.52</v>
      </c>
      <c r="G344" s="57">
        <f t="shared" si="119"/>
        <v>0.52</v>
      </c>
      <c r="H344" s="59">
        <f t="shared" si="115"/>
        <v>0.32</v>
      </c>
      <c r="I344" s="60">
        <f t="shared" si="120"/>
        <v>1.983173076923095E-3</v>
      </c>
      <c r="J344" s="60">
        <f t="shared" si="124"/>
        <v>0.19038461538461524</v>
      </c>
      <c r="K344" s="160">
        <f t="shared" si="121"/>
        <v>190.38461538461524</v>
      </c>
      <c r="L344" s="131">
        <f t="shared" si="122"/>
        <v>0.61538461538461542</v>
      </c>
      <c r="M344" s="58">
        <f t="shared" si="116"/>
        <v>3.7136666666666662</v>
      </c>
      <c r="N344" s="58">
        <f t="shared" si="112"/>
        <v>1.7451923076923211E-3</v>
      </c>
      <c r="O344" s="58">
        <f t="shared" si="123"/>
        <v>0.87999999999999878</v>
      </c>
      <c r="P344" s="58">
        <f>(A344-B344)*(Equations!$H$69*$Q$240+C344)</f>
        <v>1.0830769230769215</v>
      </c>
      <c r="Q344" s="58">
        <f>(A344-B344)*(Equations!$H$69*$R$240+C344)</f>
        <v>0.67692307692307596</v>
      </c>
    </row>
    <row r="345" spans="1:17">
      <c r="A345" s="58">
        <f t="shared" si="113"/>
        <v>22</v>
      </c>
      <c r="B345" s="61">
        <f t="shared" si="125"/>
        <v>20.51923076923077</v>
      </c>
      <c r="C345" s="59">
        <f t="shared" si="117"/>
        <v>0.2</v>
      </c>
      <c r="D345" s="64">
        <f>B240</f>
        <v>72.582399999999993</v>
      </c>
      <c r="E345" s="57">
        <f t="shared" si="118"/>
        <v>22.681999999999999</v>
      </c>
      <c r="F345" s="59">
        <f>Equations!$H$69+C345</f>
        <v>0.52</v>
      </c>
      <c r="G345" s="57">
        <f t="shared" si="119"/>
        <v>0.52</v>
      </c>
      <c r="H345" s="59">
        <f t="shared" si="115"/>
        <v>0.32</v>
      </c>
      <c r="I345" s="60">
        <f t="shared" si="120"/>
        <v>1.9831730769230616E-3</v>
      </c>
      <c r="J345" s="60">
        <f t="shared" si="124"/>
        <v>0.19236778846153829</v>
      </c>
      <c r="K345" s="160">
        <f t="shared" si="121"/>
        <v>192.36778846153828</v>
      </c>
      <c r="L345" s="131">
        <f t="shared" si="122"/>
        <v>0.61538461538461542</v>
      </c>
      <c r="M345" s="58">
        <f t="shared" si="116"/>
        <v>3.7136666666666662</v>
      </c>
      <c r="N345" s="58">
        <f t="shared" si="112"/>
        <v>1.5270432692307567E-3</v>
      </c>
      <c r="O345" s="58">
        <f t="shared" si="123"/>
        <v>0.76999999999999957</v>
      </c>
      <c r="P345" s="58">
        <f>(A345-B345)*(Equations!$H$69*$Q$240+C345)</f>
        <v>0.94769230769230717</v>
      </c>
      <c r="Q345" s="58">
        <f>(A345-B345)*(Equations!$H$69*$R$240+C345)</f>
        <v>0.59230769230769198</v>
      </c>
    </row>
    <row r="346" spans="1:17">
      <c r="A346" s="58">
        <f t="shared" si="113"/>
        <v>22</v>
      </c>
      <c r="B346" s="61">
        <f t="shared" si="125"/>
        <v>20.73076923076923</v>
      </c>
      <c r="C346" s="59">
        <f t="shared" si="117"/>
        <v>0.2</v>
      </c>
      <c r="D346" s="64">
        <f>B240</f>
        <v>72.582399999999993</v>
      </c>
      <c r="E346" s="57">
        <f t="shared" si="118"/>
        <v>22.681999999999999</v>
      </c>
      <c r="F346" s="59">
        <f>Equations!$H$69+C346</f>
        <v>0.52</v>
      </c>
      <c r="G346" s="57">
        <f t="shared" si="119"/>
        <v>0.52</v>
      </c>
      <c r="H346" s="59">
        <f t="shared" si="115"/>
        <v>0.32</v>
      </c>
      <c r="I346" s="60">
        <f t="shared" si="120"/>
        <v>1.9831730769230616E-3</v>
      </c>
      <c r="J346" s="60">
        <f t="shared" si="124"/>
        <v>0.19435096153846135</v>
      </c>
      <c r="K346" s="160">
        <f t="shared" si="121"/>
        <v>194.35096153846135</v>
      </c>
      <c r="L346" s="131">
        <f t="shared" si="122"/>
        <v>0.61538461538461542</v>
      </c>
      <c r="M346" s="58">
        <f t="shared" si="116"/>
        <v>3.7136666666666662</v>
      </c>
      <c r="N346" s="58">
        <f t="shared" si="112"/>
        <v>1.3088942307692216E-3</v>
      </c>
      <c r="O346" s="58">
        <f t="shared" si="123"/>
        <v>0.66000000000000048</v>
      </c>
      <c r="P346" s="58">
        <f>(A346-B346)*(Equations!$H$69*$Q$240+C346)</f>
        <v>0.81230769230769284</v>
      </c>
      <c r="Q346" s="58">
        <f>(A346-B346)*(Equations!$H$69*$R$240+C346)</f>
        <v>0.507692307692308</v>
      </c>
    </row>
    <row r="347" spans="1:17">
      <c r="A347" s="58">
        <f t="shared" si="113"/>
        <v>22</v>
      </c>
      <c r="B347" s="61">
        <f t="shared" si="125"/>
        <v>20.94230769230769</v>
      </c>
      <c r="C347" s="59">
        <f t="shared" si="117"/>
        <v>0.2</v>
      </c>
      <c r="D347" s="64">
        <f>B240</f>
        <v>72.582399999999993</v>
      </c>
      <c r="E347" s="57">
        <f t="shared" si="118"/>
        <v>22.681999999999999</v>
      </c>
      <c r="F347" s="59">
        <f>Equations!$H$69+C347</f>
        <v>0.52</v>
      </c>
      <c r="G347" s="57">
        <f t="shared" si="119"/>
        <v>0.52</v>
      </c>
      <c r="H347" s="59">
        <f t="shared" si="115"/>
        <v>0.32</v>
      </c>
      <c r="I347" s="60">
        <f t="shared" si="120"/>
        <v>1.9831730769230616E-3</v>
      </c>
      <c r="J347" s="60">
        <f t="shared" si="124"/>
        <v>0.1963341346153844</v>
      </c>
      <c r="K347" s="160">
        <f t="shared" si="121"/>
        <v>196.33413461538441</v>
      </c>
      <c r="L347" s="131">
        <f t="shared" si="122"/>
        <v>0.61538461538461542</v>
      </c>
      <c r="M347" s="58">
        <f t="shared" si="116"/>
        <v>3.7136666666666662</v>
      </c>
      <c r="N347" s="58">
        <f t="shared" si="112"/>
        <v>1.0907451923076864E-3</v>
      </c>
      <c r="O347" s="58">
        <f t="shared" si="123"/>
        <v>0.55000000000000127</v>
      </c>
      <c r="P347" s="58">
        <f>(A347-B347)*(Equations!$H$69*$Q$240+C347)</f>
        <v>0.67692307692307851</v>
      </c>
      <c r="Q347" s="58">
        <f>(A347-B347)*(Equations!$H$69*$R$240+C347)</f>
        <v>0.42307692307692407</v>
      </c>
    </row>
    <row r="348" spans="1:17">
      <c r="A348" s="58">
        <f t="shared" si="113"/>
        <v>22</v>
      </c>
      <c r="B348" s="61">
        <f t="shared" si="125"/>
        <v>21.153846153846153</v>
      </c>
      <c r="C348" s="59">
        <f t="shared" si="117"/>
        <v>0.2</v>
      </c>
      <c r="D348" s="64">
        <f>B240</f>
        <v>72.582399999999993</v>
      </c>
      <c r="E348" s="57">
        <f t="shared" si="118"/>
        <v>22.681999999999999</v>
      </c>
      <c r="F348" s="59">
        <f>Equations!$H$69+C348</f>
        <v>0.52</v>
      </c>
      <c r="G348" s="57">
        <f t="shared" si="119"/>
        <v>0.52</v>
      </c>
      <c r="H348" s="59">
        <f t="shared" si="115"/>
        <v>0.32</v>
      </c>
      <c r="I348" s="60">
        <f t="shared" si="120"/>
        <v>1.983173076923095E-3</v>
      </c>
      <c r="J348" s="60">
        <f t="shared" si="124"/>
        <v>0.19831730769230749</v>
      </c>
      <c r="K348" s="160">
        <f t="shared" si="121"/>
        <v>198.31730769230748</v>
      </c>
      <c r="L348" s="131">
        <f t="shared" si="122"/>
        <v>0.61538461538461542</v>
      </c>
      <c r="M348" s="58">
        <f t="shared" si="116"/>
        <v>3.7136666666666662</v>
      </c>
      <c r="N348" s="58">
        <f t="shared" si="112"/>
        <v>8.7259615384616238E-4</v>
      </c>
      <c r="O348" s="58">
        <f t="shared" si="123"/>
        <v>0.44000000000000028</v>
      </c>
      <c r="P348" s="58">
        <f>(A348-B348)*(Equations!$H$69*$Q$240+C348)</f>
        <v>0.54153846153846186</v>
      </c>
      <c r="Q348" s="58">
        <f>(A348-B348)*(Equations!$H$69*$R$240+C348)</f>
        <v>0.3384615384615387</v>
      </c>
    </row>
    <row r="349" spans="1:17">
      <c r="A349" s="58">
        <f t="shared" si="113"/>
        <v>22</v>
      </c>
      <c r="B349" s="61">
        <f t="shared" si="125"/>
        <v>21.365384615384617</v>
      </c>
      <c r="C349" s="59">
        <f t="shared" si="117"/>
        <v>0.2</v>
      </c>
      <c r="D349" s="64">
        <f>B240</f>
        <v>72.582399999999993</v>
      </c>
      <c r="E349" s="57">
        <f>$C$240</f>
        <v>22.681999999999999</v>
      </c>
      <c r="F349" s="59">
        <f>Equations!$H$69+C349</f>
        <v>0.52</v>
      </c>
      <c r="G349" s="57">
        <f t="shared" si="119"/>
        <v>0.52</v>
      </c>
      <c r="H349" s="59">
        <f>G349-C349</f>
        <v>0.32</v>
      </c>
      <c r="I349" s="60">
        <f>(COUTMAX/1000000)*(B349-B348)/H349</f>
        <v>1.983173076923095E-3</v>
      </c>
      <c r="J349" s="60">
        <f>J348+I349</f>
        <v>0.20030048076923057</v>
      </c>
      <c r="K349" s="160">
        <f t="shared" si="121"/>
        <v>200.30048076923057</v>
      </c>
      <c r="L349" s="131">
        <f>H349/G349</f>
        <v>0.61538461538461542</v>
      </c>
      <c r="M349" s="58">
        <f t="shared" si="116"/>
        <v>3.7136666666666662</v>
      </c>
      <c r="N349" s="58">
        <f>I349*G349*(A349-B349)</f>
        <v>6.5444711538461989E-4</v>
      </c>
      <c r="O349" s="58">
        <f t="shared" si="123"/>
        <v>0.32999999999999929</v>
      </c>
      <c r="P349" s="58">
        <f>(A349-B349)*(Equations!$H$69*$Q$240+C349)</f>
        <v>0.40615384615384531</v>
      </c>
      <c r="Q349" s="58">
        <f>(A349-B349)*(Equations!$H$69*$R$240+C349)</f>
        <v>0.25384615384615333</v>
      </c>
    </row>
    <row r="350" spans="1:17">
      <c r="A350" s="58">
        <f t="shared" si="113"/>
        <v>22</v>
      </c>
      <c r="B350" s="61">
        <f t="shared" si="125"/>
        <v>21.576923076923077</v>
      </c>
      <c r="C350" s="59">
        <f t="shared" si="117"/>
        <v>0.2</v>
      </c>
      <c r="D350" s="64">
        <f>B240</f>
        <v>72.582399999999993</v>
      </c>
      <c r="E350" s="57">
        <f>$C$240</f>
        <v>22.681999999999999</v>
      </c>
      <c r="F350" s="59">
        <f>Equations!$H$69+C350</f>
        <v>0.52</v>
      </c>
      <c r="G350" s="57">
        <f t="shared" si="119"/>
        <v>0.52</v>
      </c>
      <c r="H350" s="59">
        <f t="shared" ref="H350:H352" si="126">G350-C350</f>
        <v>0.32</v>
      </c>
      <c r="I350" s="60">
        <f t="shared" ref="I350:I352" si="127">(COUTMAX/1000000)*(B350-B349)/H350</f>
        <v>1.9831730769230616E-3</v>
      </c>
      <c r="J350" s="60">
        <f t="shared" ref="J350:J352" si="128">J349+I350</f>
        <v>0.20228365384615363</v>
      </c>
      <c r="K350" s="160">
        <f t="shared" si="121"/>
        <v>202.28365384615364</v>
      </c>
      <c r="L350" s="131">
        <f t="shared" ref="L350:L352" si="129">H350/G350</f>
        <v>0.61538461538461542</v>
      </c>
      <c r="M350" s="58">
        <f t="shared" si="116"/>
        <v>3.7136666666666662</v>
      </c>
      <c r="N350" s="58">
        <f t="shared" ref="N350:N352" si="130">I350*G350*(A350-B350)</f>
        <v>4.3629807692307382E-4</v>
      </c>
      <c r="O350" s="58">
        <f t="shared" si="123"/>
        <v>0.22000000000000014</v>
      </c>
      <c r="P350" s="58">
        <f>(A350-B350)*(Equations!$H$69*$Q$240+C350)</f>
        <v>0.27076923076923093</v>
      </c>
      <c r="Q350" s="58">
        <f>(A350-B350)*(Equations!$H$69*$R$240+C350)</f>
        <v>0.16923076923076935</v>
      </c>
    </row>
    <row r="351" spans="1:17">
      <c r="A351" s="58">
        <f t="shared" si="113"/>
        <v>22</v>
      </c>
      <c r="B351" s="61">
        <f t="shared" si="125"/>
        <v>21.78846153846154</v>
      </c>
      <c r="C351" s="59">
        <f t="shared" si="117"/>
        <v>0.2</v>
      </c>
      <c r="D351" s="64">
        <f>B240</f>
        <v>72.582399999999993</v>
      </c>
      <c r="E351" s="57">
        <f>$C$240</f>
        <v>22.681999999999999</v>
      </c>
      <c r="F351" s="59">
        <f>Equations!$H$69+C351</f>
        <v>0.52</v>
      </c>
      <c r="G351" s="57">
        <f t="shared" si="119"/>
        <v>0.52</v>
      </c>
      <c r="H351" s="59">
        <f t="shared" si="126"/>
        <v>0.32</v>
      </c>
      <c r="I351" s="60">
        <f t="shared" si="127"/>
        <v>1.983173076923095E-3</v>
      </c>
      <c r="J351" s="60">
        <f t="shared" si="128"/>
        <v>0.20426682692307671</v>
      </c>
      <c r="K351" s="160">
        <f t="shared" si="121"/>
        <v>204.26682692307671</v>
      </c>
      <c r="L351" s="131">
        <f t="shared" si="129"/>
        <v>0.61538461538461542</v>
      </c>
      <c r="M351" s="58">
        <f t="shared" si="116"/>
        <v>3.7136666666666662</v>
      </c>
      <c r="N351" s="58">
        <f t="shared" si="130"/>
        <v>2.1814903846153875E-4</v>
      </c>
      <c r="O351" s="58">
        <f t="shared" si="123"/>
        <v>0.10999999999999915</v>
      </c>
      <c r="P351" s="58">
        <f>(A351-B351)*(Equations!$H$69*$Q$240+C351)</f>
        <v>0.13538461538461433</v>
      </c>
      <c r="Q351" s="58">
        <f>(A351-B351)*(Equations!$H$69*$R$240+C351)</f>
        <v>8.4615384615383968E-2</v>
      </c>
    </row>
    <row r="352" spans="1:17">
      <c r="A352" s="58">
        <f t="shared" si="113"/>
        <v>22</v>
      </c>
      <c r="B352" s="61">
        <f t="shared" si="125"/>
        <v>22</v>
      </c>
      <c r="C352" s="59">
        <f t="shared" si="117"/>
        <v>0.2</v>
      </c>
      <c r="D352" s="64">
        <f>B240</f>
        <v>72.582399999999993</v>
      </c>
      <c r="E352" s="57">
        <f>$C$240</f>
        <v>22.681999999999999</v>
      </c>
      <c r="F352" s="59">
        <f>Equations!$H$69+C352</f>
        <v>0.52</v>
      </c>
      <c r="G352" s="57">
        <f t="shared" si="119"/>
        <v>0.52</v>
      </c>
      <c r="H352" s="59">
        <f t="shared" si="126"/>
        <v>0.32</v>
      </c>
      <c r="I352" s="60">
        <f t="shared" si="127"/>
        <v>1.9831730769230616E-3</v>
      </c>
      <c r="J352" s="60">
        <f t="shared" si="128"/>
        <v>0.20624999999999977</v>
      </c>
      <c r="K352" s="160">
        <f t="shared" si="121"/>
        <v>206.24999999999977</v>
      </c>
      <c r="L352" s="131">
        <f t="shared" si="129"/>
        <v>0.61538461538461542</v>
      </c>
      <c r="M352" s="58">
        <f t="shared" si="116"/>
        <v>3.7136666666666662</v>
      </c>
      <c r="N352" s="58">
        <f t="shared" si="130"/>
        <v>0</v>
      </c>
      <c r="O352" s="58">
        <f t="shared" si="123"/>
        <v>0</v>
      </c>
      <c r="P352" s="58">
        <f>(A352-B352)*(Equations!$H$69*$Q$240+C352)</f>
        <v>0</v>
      </c>
      <c r="Q352" s="58">
        <f>(A352-B352)*(Equations!$H$69*$R$240+C352)</f>
        <v>0</v>
      </c>
    </row>
    <row r="353" spans="11:15">
      <c r="K353" s="161">
        <f>K352+0.5</f>
        <v>206.74999999999977</v>
      </c>
      <c r="N353" s="58">
        <v>0</v>
      </c>
      <c r="O353" s="58">
        <v>0</v>
      </c>
    </row>
  </sheetData>
  <mergeCells count="2">
    <mergeCell ref="X12:Y12"/>
    <mergeCell ref="X131:Y131"/>
  </mergeCells>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3:U144"/>
  <sheetViews>
    <sheetView zoomScaleNormal="100" workbookViewId="0">
      <selection activeCell="H114" sqref="H114"/>
    </sheetView>
  </sheetViews>
  <sheetFormatPr baseColWidth="10" defaultColWidth="8.83203125" defaultRowHeight="13"/>
  <cols>
    <col min="1" max="1" width="19.6640625" customWidth="1"/>
    <col min="2" max="2" width="17.33203125" customWidth="1"/>
    <col min="3" max="3" width="15.6640625" bestFit="1" customWidth="1"/>
    <col min="4" max="4" width="12.5" bestFit="1" customWidth="1"/>
    <col min="5" max="5" width="14.5" bestFit="1" customWidth="1"/>
    <col min="6" max="6" width="14" bestFit="1" customWidth="1"/>
    <col min="7" max="7" width="31.5" customWidth="1"/>
    <col min="8" max="8" width="20" customWidth="1"/>
    <col min="13" max="13" width="12.83203125" customWidth="1"/>
    <col min="15" max="15" width="17.33203125" customWidth="1"/>
    <col min="17" max="17" width="13.33203125" customWidth="1"/>
    <col min="18" max="18" width="16.83203125" customWidth="1"/>
    <col min="20" max="20" width="13" customWidth="1"/>
    <col min="21" max="21" width="10.1640625" customWidth="1"/>
  </cols>
  <sheetData>
    <row r="3" spans="1:21" ht="30" customHeight="1">
      <c r="A3" s="239" t="s">
        <v>590</v>
      </c>
    </row>
    <row r="5" spans="1:21">
      <c r="A5" s="66"/>
      <c r="B5" s="359" t="s">
        <v>163</v>
      </c>
      <c r="C5" s="359"/>
      <c r="D5" s="359"/>
      <c r="E5" s="359"/>
      <c r="F5" s="359"/>
      <c r="G5" s="1"/>
      <c r="H5" s="25" t="s">
        <v>183</v>
      </c>
      <c r="O5" s="1"/>
      <c r="P5" s="1"/>
      <c r="Q5" s="1"/>
      <c r="R5" s="1"/>
      <c r="S5" s="1"/>
      <c r="T5" s="1"/>
    </row>
    <row r="6" spans="1:21">
      <c r="A6" s="66"/>
      <c r="B6" s="67" t="s">
        <v>591</v>
      </c>
      <c r="C6" s="67" t="s">
        <v>216</v>
      </c>
      <c r="D6" s="67" t="s">
        <v>164</v>
      </c>
      <c r="E6" s="67" t="s">
        <v>165</v>
      </c>
      <c r="F6" s="67" t="s">
        <v>166</v>
      </c>
      <c r="G6" s="25"/>
      <c r="H6" s="25" t="s">
        <v>181</v>
      </c>
      <c r="I6" s="1"/>
      <c r="J6" s="1"/>
      <c r="K6" s="1"/>
      <c r="L6" s="1"/>
      <c r="M6" s="1"/>
      <c r="O6" s="1"/>
      <c r="P6" s="1"/>
      <c r="Q6" s="16"/>
      <c r="R6" s="16"/>
      <c r="S6" s="16"/>
      <c r="T6" s="16"/>
    </row>
    <row r="7" spans="1:21" ht="21.75" customHeight="1">
      <c r="A7" s="67" t="s">
        <v>167</v>
      </c>
      <c r="B7" s="66">
        <f ca="1">'Design Calculator'!F57</f>
        <v>400</v>
      </c>
      <c r="C7" s="68">
        <f ca="1">'Design Calculator'!F58</f>
        <v>327.27272727272731</v>
      </c>
      <c r="D7" s="68">
        <f ca="1">'Design Calculator'!F59</f>
        <v>40.362880426103516</v>
      </c>
      <c r="E7" s="68">
        <f ca="1">'Design Calculator'!F60</f>
        <v>10.950966872772515</v>
      </c>
      <c r="F7" s="68">
        <f ca="1">'Design Calculator'!F61</f>
        <v>7.0471211308055244</v>
      </c>
      <c r="G7" s="3"/>
      <c r="H7" s="25" t="s">
        <v>182</v>
      </c>
      <c r="I7" s="1"/>
      <c r="J7" s="1"/>
      <c r="K7" s="1"/>
      <c r="L7" s="16"/>
      <c r="M7" s="16"/>
      <c r="O7" s="1"/>
      <c r="P7" s="1"/>
      <c r="Q7" s="16"/>
      <c r="R7" s="16"/>
      <c r="S7" s="16"/>
      <c r="T7" s="16"/>
    </row>
    <row r="8" spans="1:21" ht="15">
      <c r="B8" s="26" t="s">
        <v>457</v>
      </c>
      <c r="C8" s="2">
        <f ca="1">'Design Calculator'!F56</f>
        <v>175</v>
      </c>
      <c r="D8" s="240" t="s">
        <v>123</v>
      </c>
      <c r="E8" s="16"/>
      <c r="F8" s="16"/>
      <c r="G8" s="16"/>
      <c r="I8" s="1"/>
      <c r="J8" s="1"/>
      <c r="K8" s="1"/>
      <c r="L8" s="16"/>
      <c r="M8" s="16"/>
      <c r="N8" s="356"/>
      <c r="O8" s="356"/>
      <c r="P8" s="356"/>
      <c r="Q8" s="16"/>
      <c r="R8" s="360"/>
      <c r="S8" s="361"/>
      <c r="T8" s="361"/>
    </row>
    <row r="9" spans="1:21">
      <c r="C9" s="1"/>
      <c r="D9" s="16"/>
      <c r="E9" s="16"/>
      <c r="F9" s="16"/>
      <c r="G9" s="16"/>
      <c r="I9" s="1"/>
      <c r="J9" s="1"/>
      <c r="K9" s="1"/>
      <c r="L9" s="16"/>
      <c r="M9" s="16"/>
      <c r="O9" s="25"/>
    </row>
    <row r="10" spans="1:21" ht="15">
      <c r="B10" s="69" t="s">
        <v>350</v>
      </c>
      <c r="G10" s="152" t="s">
        <v>337</v>
      </c>
      <c r="J10" s="135"/>
      <c r="K10" s="16"/>
      <c r="N10" s="25"/>
      <c r="O10" s="25"/>
      <c r="P10" s="25"/>
      <c r="T10" s="70"/>
      <c r="U10" s="1"/>
    </row>
    <row r="11" spans="1:21" ht="15">
      <c r="B11" s="25" t="s">
        <v>168</v>
      </c>
      <c r="C11">
        <f>IF('Design Calculator'!F30="Power Limit", 'Design Calculator'!$F$84,'Design Calculator'!F97)</f>
        <v>320</v>
      </c>
      <c r="D11" s="25" t="s">
        <v>8</v>
      </c>
      <c r="G11" s="25" t="s">
        <v>168</v>
      </c>
      <c r="H11">
        <f>Equations!F73</f>
        <v>102.13341346153844</v>
      </c>
      <c r="I11" s="25" t="s">
        <v>8</v>
      </c>
      <c r="J11" s="65"/>
      <c r="K11" s="16"/>
      <c r="N11" s="25"/>
      <c r="P11" s="70"/>
      <c r="T11" s="70"/>
      <c r="U11" s="1"/>
    </row>
    <row r="12" spans="1:21" ht="15">
      <c r="B12" s="25" t="s">
        <v>169</v>
      </c>
      <c r="C12">
        <f>VINMAX</f>
        <v>22</v>
      </c>
      <c r="D12" t="s">
        <v>86</v>
      </c>
      <c r="G12" s="25" t="s">
        <v>169</v>
      </c>
      <c r="H12">
        <f>VINMAX</f>
        <v>22</v>
      </c>
      <c r="I12" s="25" t="s">
        <v>86</v>
      </c>
      <c r="K12" s="16"/>
      <c r="N12" s="25"/>
      <c r="P12" s="70"/>
      <c r="T12" s="70"/>
    </row>
    <row r="13" spans="1:21" ht="15">
      <c r="B13" s="25" t="s">
        <v>170</v>
      </c>
      <c r="C13">
        <f>IF(C11&lt;10, IF(C11&lt;1, 0.1, 1), IF(C11&lt;100, 10, 100))</f>
        <v>100</v>
      </c>
      <c r="D13" s="25" t="s">
        <v>8</v>
      </c>
      <c r="G13" s="25" t="s">
        <v>170</v>
      </c>
      <c r="H13">
        <f>IF(H11&lt;10, IF(H11&lt;1, 0.1, 1), IF(H11&lt;100, 10, 100))</f>
        <v>100</v>
      </c>
      <c r="I13" s="25" t="s">
        <v>8</v>
      </c>
      <c r="K13" s="16"/>
      <c r="N13" s="25"/>
      <c r="P13" s="70"/>
      <c r="T13" s="70"/>
    </row>
    <row r="14" spans="1:21" ht="15">
      <c r="B14" s="25" t="s">
        <v>423</v>
      </c>
      <c r="C14">
        <f>SOA!C13</f>
        <v>100</v>
      </c>
      <c r="D14" s="25"/>
      <c r="G14" s="25" t="s">
        <v>423</v>
      </c>
      <c r="H14">
        <f>SOA!H13</f>
        <v>100</v>
      </c>
      <c r="K14" s="16"/>
      <c r="P14" s="70"/>
    </row>
    <row r="15" spans="1:21">
      <c r="B15" s="25" t="s">
        <v>171</v>
      </c>
      <c r="C15">
        <f>C13*10</f>
        <v>1000</v>
      </c>
      <c r="D15" s="25" t="s">
        <v>8</v>
      </c>
      <c r="G15" s="25" t="s">
        <v>413</v>
      </c>
      <c r="H15">
        <f>H13*10</f>
        <v>1000</v>
      </c>
      <c r="I15" s="25" t="s">
        <v>8</v>
      </c>
      <c r="K15" s="16"/>
    </row>
    <row r="16" spans="1:21">
      <c r="B16" s="25" t="s">
        <v>424</v>
      </c>
      <c r="C16">
        <f>SOA!C15</f>
        <v>1000</v>
      </c>
      <c r="D16" s="25"/>
      <c r="G16" s="25" t="s">
        <v>424</v>
      </c>
      <c r="H16">
        <f>SOA!H15</f>
        <v>1000</v>
      </c>
      <c r="K16" s="16"/>
    </row>
    <row r="17" spans="2:15">
      <c r="B17" s="25" t="s">
        <v>172</v>
      </c>
      <c r="C17">
        <f ca="1">IF(C14=0.01, B7, IF(C14=0.1, C7, IF(C14=1, D7, E7)))</f>
        <v>10.950966872772515</v>
      </c>
      <c r="D17" s="25" t="s">
        <v>25</v>
      </c>
      <c r="G17" s="25" t="s">
        <v>172</v>
      </c>
      <c r="H17">
        <f ca="1">IF(H14=0.01, B7, IF(H14=0.1, C7, IF(H14=1, D7, IF(H14=10,E7,F7))))</f>
        <v>7.0471211308055244</v>
      </c>
      <c r="K17" s="16"/>
    </row>
    <row r="18" spans="2:15">
      <c r="B18" s="25" t="s">
        <v>173</v>
      </c>
      <c r="C18">
        <f ca="1">IF(C16=100, F7, IF(C16=10, E7, IF(C16=1, D7,IF(C16=0.1, C7,B7))))</f>
        <v>400</v>
      </c>
      <c r="D18" s="25" t="s">
        <v>25</v>
      </c>
      <c r="G18" s="25" t="s">
        <v>173</v>
      </c>
      <c r="H18">
        <f ca="1">IF(H16=100, F7, IF(H16=10, E7, IF(H16=1, D7, IF(H16=0.1,B7,C7))))</f>
        <v>327.27272727272731</v>
      </c>
      <c r="K18" s="16"/>
    </row>
    <row r="19" spans="2:15">
      <c r="K19" s="16"/>
    </row>
    <row r="20" spans="2:15">
      <c r="B20" s="25" t="s">
        <v>177</v>
      </c>
      <c r="G20" s="25" t="s">
        <v>177</v>
      </c>
      <c r="K20" s="16"/>
    </row>
    <row r="21" spans="2:15">
      <c r="B21" s="25" t="s">
        <v>174</v>
      </c>
      <c r="C21">
        <f ca="1">C17/C14^C22</f>
        <v>8.2080012318644612E-3</v>
      </c>
      <c r="F21" s="25"/>
      <c r="G21" s="25" t="s">
        <v>174</v>
      </c>
      <c r="H21">
        <f ca="1">H17/H14^H22</f>
        <v>3.2674998651591701E-3</v>
      </c>
    </row>
    <row r="22" spans="2:15">
      <c r="B22" s="25" t="s">
        <v>175</v>
      </c>
      <c r="C22">
        <f ca="1">LOG(C17/C18)/LOG(C14/C16)</f>
        <v>1.5626075261269654</v>
      </c>
      <c r="F22" s="25"/>
      <c r="G22" s="25" t="s">
        <v>175</v>
      </c>
      <c r="H22">
        <f ca="1">IF(H17=H18,0.000000000001,LOG(H17/H18)/LOG(H14/H16))</f>
        <v>1.6668980790928771</v>
      </c>
      <c r="I22" s="25" t="s">
        <v>418</v>
      </c>
      <c r="K22" s="16"/>
    </row>
    <row r="23" spans="2:15">
      <c r="B23" s="25" t="s">
        <v>176</v>
      </c>
      <c r="C23">
        <f ca="1">C21*C11^C22</f>
        <v>67.422309232854118</v>
      </c>
      <c r="D23" s="25" t="s">
        <v>25</v>
      </c>
      <c r="G23" s="25" t="s">
        <v>176</v>
      </c>
      <c r="H23">
        <f ca="1">H21*H11^H22</f>
        <v>7.2995082375724181</v>
      </c>
      <c r="K23" s="16"/>
      <c r="M23" s="25"/>
    </row>
    <row r="24" spans="2:15">
      <c r="K24" s="16"/>
      <c r="N24" s="1"/>
    </row>
    <row r="25" spans="2:15">
      <c r="B25" s="26" t="s">
        <v>178</v>
      </c>
      <c r="C25">
        <f ca="1" xml:space="preserve"> C23*C12</f>
        <v>1483.2908031227905</v>
      </c>
      <c r="D25" s="25"/>
      <c r="G25" s="26" t="s">
        <v>178</v>
      </c>
      <c r="H25">
        <f ca="1">IF(H11&lt;1, H17, H23)*H12</f>
        <v>160.58918122659321</v>
      </c>
      <c r="K25" s="16"/>
    </row>
    <row r="26" spans="2:15">
      <c r="K26" s="16"/>
    </row>
    <row r="27" spans="2:15">
      <c r="G27" s="25" t="s">
        <v>357</v>
      </c>
      <c r="H27" t="str">
        <f>'Design Calculator'!F86</f>
        <v>Yes</v>
      </c>
      <c r="K27" s="16"/>
      <c r="O27" s="1"/>
    </row>
    <row r="28" spans="2:15">
      <c r="B28" s="65" t="s">
        <v>184</v>
      </c>
      <c r="C28">
        <f ca="1">(C8-TJDC1)/(C8-25)</f>
        <v>0.54399999999999993</v>
      </c>
      <c r="D28" s="16"/>
      <c r="E28" s="16"/>
      <c r="F28" s="16"/>
      <c r="G28" s="25" t="s">
        <v>356</v>
      </c>
      <c r="H28">
        <f ca="1">IF(H27="Yes", TJDC1,TAMB)</f>
        <v>93.4</v>
      </c>
      <c r="K28" s="16"/>
      <c r="O28" s="1"/>
    </row>
    <row r="29" spans="2:15">
      <c r="B29" s="26" t="s">
        <v>179</v>
      </c>
      <c r="C29">
        <f ca="1">IF((C25*C28)&lt;0,0.000000001,C25*C28)</f>
        <v>806.91019689879795</v>
      </c>
      <c r="D29" s="71" t="s">
        <v>87</v>
      </c>
      <c r="E29" s="16"/>
      <c r="F29" s="16"/>
      <c r="K29" s="16"/>
    </row>
    <row r="30" spans="2:15">
      <c r="B30" s="1"/>
      <c r="C30" s="1"/>
      <c r="D30" s="16"/>
      <c r="E30" s="16"/>
      <c r="F30" s="16"/>
      <c r="G30" s="65" t="s">
        <v>184</v>
      </c>
      <c r="H30">
        <f ca="1">(C8-H28)/(C8-25)</f>
        <v>0.54399999999999993</v>
      </c>
      <c r="K30" s="16"/>
    </row>
    <row r="31" spans="2:15">
      <c r="B31" s="1"/>
      <c r="D31" s="16"/>
      <c r="E31" s="16"/>
      <c r="F31" s="16"/>
      <c r="G31" s="26" t="s">
        <v>179</v>
      </c>
      <c r="H31">
        <f ca="1">IF((H25*H30)&lt;0,0.000000001,H25*H30)</f>
        <v>87.360514587266692</v>
      </c>
      <c r="K31" s="16"/>
    </row>
    <row r="32" spans="2:15">
      <c r="B32" s="65" t="s">
        <v>384</v>
      </c>
      <c r="D32" s="16"/>
      <c r="E32" s="16"/>
      <c r="F32" s="16"/>
      <c r="I32" s="3"/>
      <c r="J32" s="3"/>
      <c r="K32" s="3"/>
    </row>
    <row r="33" spans="2:11">
      <c r="C33" s="69" t="s">
        <v>599</v>
      </c>
      <c r="D33" s="163" t="s">
        <v>598</v>
      </c>
      <c r="E33" s="163" t="s">
        <v>597</v>
      </c>
      <c r="F33" s="163" t="s">
        <v>596</v>
      </c>
      <c r="G33" s="16"/>
      <c r="I33" s="3"/>
      <c r="J33" s="3"/>
      <c r="K33" s="3"/>
    </row>
    <row r="34" spans="2:11">
      <c r="B34" s="65" t="s">
        <v>386</v>
      </c>
      <c r="C34" s="65">
        <v>0.01</v>
      </c>
      <c r="D34" s="1">
        <v>0.1</v>
      </c>
      <c r="E34" s="16">
        <v>1</v>
      </c>
      <c r="F34" s="1">
        <v>10</v>
      </c>
      <c r="G34" s="152"/>
    </row>
    <row r="35" spans="2:11">
      <c r="B35" s="65" t="s">
        <v>387</v>
      </c>
      <c r="C35" s="1">
        <v>0.1</v>
      </c>
      <c r="D35" s="1">
        <v>1</v>
      </c>
      <c r="E35" s="16">
        <v>10</v>
      </c>
      <c r="F35" s="1">
        <v>100</v>
      </c>
      <c r="G35" s="26"/>
    </row>
    <row r="36" spans="2:11">
      <c r="B36" s="65" t="s">
        <v>174</v>
      </c>
      <c r="C36" s="1">
        <f ca="1">B7/(C34^C37)</f>
        <v>267.76859504132238</v>
      </c>
      <c r="D36" s="1">
        <f ca="1">C7/(D34^D37)</f>
        <v>40.362880426103523</v>
      </c>
      <c r="E36" s="1">
        <f ca="1">D7/(E34^E37)</f>
        <v>40.362880426103516</v>
      </c>
      <c r="F36" s="1">
        <f ca="1">E7/(F34^F37)</f>
        <v>17.017399477402357</v>
      </c>
      <c r="G36" s="25"/>
    </row>
    <row r="37" spans="2:11">
      <c r="B37" s="65" t="s">
        <v>175</v>
      </c>
      <c r="C37" s="16">
        <f ca="1">LOG(B7/C7)/LOG(C34/C35)</f>
        <v>-8.7150175718900116E-2</v>
      </c>
      <c r="D37" s="16">
        <f ca="1">LOG(C7/D7)/LOG(D34/D35)</f>
        <v>-0.90892766427498251</v>
      </c>
      <c r="E37" s="16">
        <f ca="1">LOG(D7/E7)/LOG(E34/E35)</f>
        <v>-0.56652968613308285</v>
      </c>
      <c r="F37" s="16">
        <f ca="1">LOG(E7/F7)/LOG(F34/F35)</f>
        <v>-0.19144072868481182</v>
      </c>
      <c r="G37" s="25"/>
    </row>
    <row r="38" spans="2:11">
      <c r="B38" s="65"/>
      <c r="C38" s="16"/>
      <c r="D38" s="16"/>
      <c r="E38" s="16"/>
      <c r="F38" s="16"/>
      <c r="G38" s="25"/>
    </row>
    <row r="39" spans="2:11" ht="14" thickBot="1">
      <c r="B39" s="241" t="s">
        <v>600</v>
      </c>
      <c r="D39" s="16"/>
      <c r="E39" s="16"/>
      <c r="F39" s="16"/>
      <c r="G39" s="25"/>
    </row>
    <row r="40" spans="2:11" ht="15">
      <c r="B40" s="242" t="s">
        <v>601</v>
      </c>
      <c r="C40" s="243" t="s">
        <v>602</v>
      </c>
      <c r="D40" s="16"/>
      <c r="E40" s="16"/>
      <c r="F40" s="16"/>
      <c r="G40" s="25"/>
    </row>
    <row r="41" spans="2:11">
      <c r="B41" s="244" t="s">
        <v>603</v>
      </c>
      <c r="C41" s="245" t="s">
        <v>604</v>
      </c>
      <c r="D41" s="16"/>
      <c r="E41" s="16"/>
      <c r="F41" s="16"/>
      <c r="G41" s="25"/>
    </row>
    <row r="42" spans="2:11">
      <c r="B42" s="246">
        <v>1</v>
      </c>
      <c r="C42" s="247">
        <f ca="1">$C$29/B42</f>
        <v>806.91019689879795</v>
      </c>
      <c r="D42" s="16"/>
      <c r="E42" s="16"/>
      <c r="F42" s="16"/>
      <c r="G42" s="25"/>
    </row>
    <row r="43" spans="2:11">
      <c r="B43" s="246">
        <v>1.2</v>
      </c>
      <c r="C43" s="247">
        <f t="shared" ref="C43:C47" ca="1" si="0">$C$29/B43</f>
        <v>672.42516408233166</v>
      </c>
      <c r="D43" s="16"/>
      <c r="E43" s="16"/>
      <c r="F43" s="16"/>
      <c r="G43" s="25"/>
    </row>
    <row r="44" spans="2:11">
      <c r="B44" s="246">
        <v>30</v>
      </c>
      <c r="C44" s="247">
        <f t="shared" ca="1" si="0"/>
        <v>26.897006563293264</v>
      </c>
      <c r="D44" s="16"/>
      <c r="E44" s="16"/>
      <c r="F44" s="16"/>
      <c r="G44" s="25"/>
    </row>
    <row r="45" spans="2:11">
      <c r="B45" s="246">
        <v>60</v>
      </c>
      <c r="C45" s="247">
        <f t="shared" ca="1" si="0"/>
        <v>13.448503281646632</v>
      </c>
      <c r="D45" s="16"/>
      <c r="E45" s="16"/>
      <c r="F45" s="16"/>
      <c r="G45" s="25"/>
    </row>
    <row r="46" spans="2:11">
      <c r="B46" s="246">
        <v>80</v>
      </c>
      <c r="C46" s="247">
        <f t="shared" ca="1" si="0"/>
        <v>10.086377461234974</v>
      </c>
      <c r="D46" s="16"/>
      <c r="E46" s="16"/>
      <c r="F46" s="16"/>
      <c r="G46" s="25"/>
    </row>
    <row r="47" spans="2:11" ht="14" thickBot="1">
      <c r="B47" s="248">
        <v>100</v>
      </c>
      <c r="C47" s="249">
        <f t="shared" ca="1" si="0"/>
        <v>8.0691019689879795</v>
      </c>
      <c r="E47" s="16"/>
      <c r="G47" s="25"/>
    </row>
    <row r="48" spans="2:11">
      <c r="E48" s="16"/>
      <c r="G48" s="25"/>
    </row>
    <row r="49" spans="1:10">
      <c r="E49" s="16"/>
      <c r="G49" s="25"/>
    </row>
    <row r="50" spans="1:10">
      <c r="E50" s="16"/>
      <c r="G50" s="25"/>
    </row>
    <row r="51" spans="1:10" ht="30" customHeight="1">
      <c r="A51" s="239" t="s">
        <v>592</v>
      </c>
    </row>
    <row r="53" spans="1:10">
      <c r="A53" s="66"/>
      <c r="B53" s="359" t="s">
        <v>163</v>
      </c>
      <c r="C53" s="359"/>
      <c r="D53" s="359"/>
      <c r="E53" s="359"/>
      <c r="F53" s="359"/>
      <c r="G53" s="1"/>
      <c r="H53" s="25" t="s">
        <v>183</v>
      </c>
    </row>
    <row r="54" spans="1:10">
      <c r="A54" s="66"/>
      <c r="B54" s="67" t="s">
        <v>591</v>
      </c>
      <c r="C54" s="67" t="s">
        <v>216</v>
      </c>
      <c r="D54" s="67" t="s">
        <v>164</v>
      </c>
      <c r="E54" s="67" t="s">
        <v>165</v>
      </c>
      <c r="F54" s="67" t="s">
        <v>166</v>
      </c>
      <c r="G54" s="25"/>
      <c r="H54" s="25" t="s">
        <v>181</v>
      </c>
      <c r="I54" s="1"/>
      <c r="J54" s="1"/>
    </row>
    <row r="55" spans="1:10">
      <c r="A55" s="67" t="s">
        <v>167</v>
      </c>
      <c r="B55" s="66">
        <f ca="1">'Design Calculator'!$G$57</f>
        <v>400</v>
      </c>
      <c r="C55" s="68">
        <f ca="1">'Design Calculator'!$G$58</f>
        <v>231.10192495122752</v>
      </c>
      <c r="D55" s="68">
        <f ca="1">'Design Calculator'!$G$59</f>
        <v>23.095628457895071</v>
      </c>
      <c r="E55" s="68">
        <f ca="1">'Design Calculator'!$G$60</f>
        <v>8.1027436190815365</v>
      </c>
      <c r="F55" s="68">
        <f ca="1">'Design Calculator'!$G$61</f>
        <v>3.3673934545713862</v>
      </c>
      <c r="G55" s="3"/>
      <c r="H55" s="25" t="s">
        <v>182</v>
      </c>
      <c r="I55" s="1"/>
      <c r="J55" s="1"/>
    </row>
    <row r="56" spans="1:10" ht="15">
      <c r="B56" s="26" t="s">
        <v>457</v>
      </c>
      <c r="C56" s="2">
        <f ca="1">'Design Calculator'!$G$56</f>
        <v>175</v>
      </c>
      <c r="D56" s="240" t="s">
        <v>123</v>
      </c>
      <c r="E56" s="16"/>
      <c r="F56" s="16"/>
      <c r="G56" s="16"/>
      <c r="I56" s="1"/>
      <c r="J56" s="1"/>
    </row>
    <row r="57" spans="1:10">
      <c r="C57" s="1"/>
      <c r="D57" s="16"/>
      <c r="E57" s="16"/>
      <c r="F57" s="16"/>
      <c r="G57" s="16"/>
      <c r="I57" s="1"/>
      <c r="J57" s="1"/>
    </row>
    <row r="58" spans="1:10">
      <c r="B58" s="69" t="s">
        <v>350</v>
      </c>
      <c r="G58" s="152" t="s">
        <v>337</v>
      </c>
      <c r="J58" s="135"/>
    </row>
    <row r="59" spans="1:10">
      <c r="B59" s="25" t="s">
        <v>168</v>
      </c>
      <c r="C59">
        <f>IF('Design Calculator'!F30="Power Limit", 'Design Calculator'!$F$84,'Design Calculator'!F97)</f>
        <v>320</v>
      </c>
      <c r="D59" s="25" t="s">
        <v>8</v>
      </c>
      <c r="G59" s="25" t="s">
        <v>168</v>
      </c>
      <c r="H59">
        <f>Equations!G73</f>
        <v>102.13341346153844</v>
      </c>
      <c r="I59" s="25" t="s">
        <v>8</v>
      </c>
      <c r="J59" s="65"/>
    </row>
    <row r="60" spans="1:10">
      <c r="B60" s="25" t="s">
        <v>169</v>
      </c>
      <c r="C60">
        <f>VINMAX</f>
        <v>22</v>
      </c>
      <c r="D60" t="s">
        <v>86</v>
      </c>
      <c r="G60" s="25" t="s">
        <v>169</v>
      </c>
      <c r="H60">
        <f>VINMAX</f>
        <v>22</v>
      </c>
      <c r="I60" s="25" t="s">
        <v>86</v>
      </c>
    </row>
    <row r="61" spans="1:10">
      <c r="B61" s="25" t="s">
        <v>170</v>
      </c>
      <c r="C61">
        <f>IF(C59&lt;10, IF(C59&lt;1, 0.1, 1), IF(C59&lt;100, 10, 100))</f>
        <v>100</v>
      </c>
      <c r="D61" s="25" t="s">
        <v>8</v>
      </c>
      <c r="G61" s="25" t="s">
        <v>170</v>
      </c>
      <c r="H61">
        <f>IF(H59&lt;10, IF(H59&lt;1, 0.1, 1), IF(H59&lt;100, 10, 100))</f>
        <v>100</v>
      </c>
      <c r="I61" s="25" t="s">
        <v>8</v>
      </c>
    </row>
    <row r="62" spans="1:10">
      <c r="B62" s="25" t="s">
        <v>423</v>
      </c>
      <c r="C62">
        <f>SOA!C61</f>
        <v>100</v>
      </c>
      <c r="D62" s="25"/>
      <c r="G62" s="25" t="s">
        <v>423</v>
      </c>
      <c r="H62">
        <f>SOA!H61</f>
        <v>100</v>
      </c>
    </row>
    <row r="63" spans="1:10">
      <c r="B63" s="25" t="s">
        <v>171</v>
      </c>
      <c r="C63">
        <f>C61*10</f>
        <v>1000</v>
      </c>
      <c r="D63" s="25" t="s">
        <v>8</v>
      </c>
      <c r="G63" s="25" t="s">
        <v>413</v>
      </c>
      <c r="H63">
        <f>H61*10</f>
        <v>1000</v>
      </c>
      <c r="I63" s="25" t="s">
        <v>8</v>
      </c>
    </row>
    <row r="64" spans="1:10">
      <c r="B64" s="25" t="s">
        <v>424</v>
      </c>
      <c r="C64">
        <f>SOA!C63</f>
        <v>1000</v>
      </c>
      <c r="D64" s="25"/>
      <c r="G64" s="25" t="s">
        <v>424</v>
      </c>
      <c r="H64">
        <f>SOA!H63</f>
        <v>1000</v>
      </c>
    </row>
    <row r="65" spans="2:10">
      <c r="B65" s="25" t="s">
        <v>172</v>
      </c>
      <c r="C65">
        <f ca="1">IF(C62=0.01, B55, IF(C62=0.1, C55, IF(C62=1, D55, E55)))</f>
        <v>8.1027436190815365</v>
      </c>
      <c r="D65" s="25" t="s">
        <v>25</v>
      </c>
      <c r="G65" s="25" t="s">
        <v>172</v>
      </c>
      <c r="H65">
        <f ca="1">IF(H62=0.01, B55, IF(H62=0.1, C55, IF(H62=1, D55, IF(H62=10,E55,F55))))</f>
        <v>3.3673934545713862</v>
      </c>
    </row>
    <row r="66" spans="2:10">
      <c r="B66" s="25" t="s">
        <v>173</v>
      </c>
      <c r="C66">
        <f ca="1">IF(C64=100, F55, IF(C64=10, E55, IF(C64=1, D55,IF(C64=0.1, C55,B55))))</f>
        <v>400</v>
      </c>
      <c r="D66" s="25" t="s">
        <v>25</v>
      </c>
      <c r="G66" s="25" t="s">
        <v>173</v>
      </c>
      <c r="H66">
        <f ca="1">IF(H64=100, F55, IF(H64=10, E55, IF(H64=1, D55, IF(H64=0.1,B55,C55))))</f>
        <v>231.10192495122752</v>
      </c>
    </row>
    <row r="68" spans="2:10">
      <c r="B68" s="25" t="s">
        <v>177</v>
      </c>
      <c r="G68" s="25" t="s">
        <v>177</v>
      </c>
    </row>
    <row r="69" spans="2:10">
      <c r="B69" s="25" t="s">
        <v>174</v>
      </c>
      <c r="C69">
        <f ca="1">C65/C62^C70</f>
        <v>3.3248825592587542E-3</v>
      </c>
      <c r="F69" s="25"/>
      <c r="G69" s="25" t="s">
        <v>174</v>
      </c>
      <c r="H69">
        <f ca="1">H65/H62^H70</f>
        <v>7.1494801436532086E-4</v>
      </c>
    </row>
    <row r="70" spans="2:10">
      <c r="B70" s="25" t="s">
        <v>175</v>
      </c>
      <c r="C70">
        <f ca="1">LOG(C65/C66)/LOG(C62/C64)</f>
        <v>1.6934278938227594</v>
      </c>
      <c r="F70" s="25"/>
      <c r="G70" s="25" t="s">
        <v>175</v>
      </c>
      <c r="H70">
        <f ca="1">IF(H65=H66,0.000000000001,LOG(H65/H66)/LOG(H62/H64))</f>
        <v>1.8365096995338601</v>
      </c>
      <c r="I70" s="25" t="s">
        <v>418</v>
      </c>
    </row>
    <row r="71" spans="2:10">
      <c r="B71" s="25" t="s">
        <v>176</v>
      </c>
      <c r="C71">
        <f ca="1">C69*C59^C70</f>
        <v>58.085423662697828</v>
      </c>
      <c r="D71" s="25" t="s">
        <v>25</v>
      </c>
      <c r="G71" s="25" t="s">
        <v>176</v>
      </c>
      <c r="H71">
        <f ca="1">H69*H59^H70</f>
        <v>3.5005050076369808</v>
      </c>
    </row>
    <row r="73" spans="2:10">
      <c r="B73" s="26" t="s">
        <v>178</v>
      </c>
      <c r="C73">
        <f ca="1" xml:space="preserve"> C71*C60</f>
        <v>1277.8793205793522</v>
      </c>
      <c r="D73" s="25"/>
      <c r="G73" s="26" t="s">
        <v>178</v>
      </c>
      <c r="H73">
        <f ca="1">IF(H59&lt;1, H65, H71)*H60</f>
        <v>77.011110168013573</v>
      </c>
    </row>
    <row r="75" spans="2:10">
      <c r="G75" s="25" t="s">
        <v>357</v>
      </c>
      <c r="H75" t="str">
        <f>'Design Calculator'!F86</f>
        <v>Yes</v>
      </c>
    </row>
    <row r="76" spans="2:10">
      <c r="B76" s="65" t="s">
        <v>184</v>
      </c>
      <c r="C76">
        <f ca="1">(C56-TJDC2)/(C56-25)</f>
        <v>0.53752</v>
      </c>
      <c r="D76" s="16"/>
      <c r="E76" s="16"/>
      <c r="F76" s="16"/>
      <c r="G76" s="25" t="s">
        <v>356</v>
      </c>
      <c r="H76">
        <f ca="1">IF(H75="Yes", TJDC2,TAMB)</f>
        <v>94.372</v>
      </c>
    </row>
    <row r="77" spans="2:10">
      <c r="B77" s="26" t="s">
        <v>179</v>
      </c>
      <c r="C77">
        <f ca="1">IF((C73*C76)&lt;0,0.000000001,C73*C76)</f>
        <v>686.88569239781339</v>
      </c>
      <c r="D77" s="71" t="s">
        <v>87</v>
      </c>
      <c r="E77" s="16"/>
      <c r="F77" s="16"/>
    </row>
    <row r="78" spans="2:10">
      <c r="B78" s="1"/>
      <c r="C78" s="1"/>
      <c r="D78" s="16"/>
      <c r="E78" s="16"/>
      <c r="F78" s="16"/>
      <c r="G78" s="65" t="s">
        <v>184</v>
      </c>
      <c r="H78">
        <f ca="1">(C56-H76)/(C56-25)</f>
        <v>0.53752</v>
      </c>
    </row>
    <row r="79" spans="2:10">
      <c r="B79" s="1"/>
      <c r="D79" s="16"/>
      <c r="E79" s="16"/>
      <c r="F79" s="16"/>
      <c r="G79" s="26" t="s">
        <v>179</v>
      </c>
      <c r="H79">
        <f ca="1">IF((H73*H78)&lt;0,0.000000001,H73*H78)</f>
        <v>41.395011937510652</v>
      </c>
    </row>
    <row r="80" spans="2:10">
      <c r="B80" s="65" t="s">
        <v>384</v>
      </c>
      <c r="D80" s="16"/>
      <c r="E80" s="16"/>
      <c r="F80" s="16"/>
      <c r="I80" s="3"/>
      <c r="J80" s="3"/>
    </row>
    <row r="81" spans="2:10">
      <c r="C81" s="69" t="s">
        <v>599</v>
      </c>
      <c r="D81" s="163" t="s">
        <v>598</v>
      </c>
      <c r="E81" s="163" t="s">
        <v>597</v>
      </c>
      <c r="F81" s="163" t="s">
        <v>596</v>
      </c>
      <c r="G81" s="16"/>
      <c r="I81" s="3"/>
      <c r="J81" s="3"/>
    </row>
    <row r="82" spans="2:10">
      <c r="B82" s="65" t="s">
        <v>386</v>
      </c>
      <c r="C82" s="65">
        <v>0.01</v>
      </c>
      <c r="D82" s="1">
        <v>0.1</v>
      </c>
      <c r="E82" s="16">
        <v>1</v>
      </c>
      <c r="F82" s="1">
        <v>10</v>
      </c>
      <c r="G82" s="152"/>
    </row>
    <row r="83" spans="2:10">
      <c r="B83" s="65" t="s">
        <v>387</v>
      </c>
      <c r="C83" s="1">
        <v>0.1</v>
      </c>
      <c r="D83" s="1">
        <v>1</v>
      </c>
      <c r="E83" s="16">
        <v>10</v>
      </c>
      <c r="F83" s="1">
        <v>100</v>
      </c>
      <c r="G83" s="26"/>
    </row>
    <row r="84" spans="2:10">
      <c r="B84" s="65" t="s">
        <v>174</v>
      </c>
      <c r="C84" s="1">
        <f ca="1">B55/(C82^C85)</f>
        <v>133.52024929040701</v>
      </c>
      <c r="D84" s="1">
        <f ca="1">C55/(D82^D85)</f>
        <v>23.095628457895074</v>
      </c>
      <c r="E84" s="1">
        <f ca="1">D55/(E82^E85)</f>
        <v>23.095628457895071</v>
      </c>
      <c r="F84" s="1">
        <f ca="1">E55/(F82^F85)</f>
        <v>19.497114026707433</v>
      </c>
      <c r="G84" s="25"/>
    </row>
    <row r="85" spans="2:10">
      <c r="B85" s="65" t="s">
        <v>175</v>
      </c>
      <c r="C85" s="16">
        <f ca="1">LOG(B55/C55)/LOG(C82/C83)</f>
        <v>-0.23825642840093292</v>
      </c>
      <c r="D85" s="16">
        <f ca="1">LOG(C55/D55)/LOG(D82/D83)</f>
        <v>-1.0002737785448337</v>
      </c>
      <c r="E85" s="16">
        <f ca="1">LOG(D55/E55)/LOG(E82/E83)</f>
        <v>-0.45489768687699278</v>
      </c>
      <c r="F85" s="16">
        <f ca="1">LOG(E55/F55)/LOG(F82/F83)</f>
        <v>-0.38133823411203377</v>
      </c>
      <c r="G85" s="25"/>
    </row>
    <row r="86" spans="2:10">
      <c r="B86" s="65"/>
      <c r="C86" s="16"/>
      <c r="D86" s="16"/>
      <c r="E86" s="16"/>
      <c r="F86" s="16"/>
      <c r="G86" s="25"/>
    </row>
    <row r="87" spans="2:10" ht="14" thickBot="1">
      <c r="B87" s="241" t="s">
        <v>600</v>
      </c>
      <c r="D87" s="16"/>
      <c r="E87" s="16"/>
      <c r="F87" s="16"/>
      <c r="G87" s="25"/>
    </row>
    <row r="88" spans="2:10" ht="15">
      <c r="B88" s="242" t="s">
        <v>601</v>
      </c>
      <c r="C88" s="243" t="s">
        <v>602</v>
      </c>
      <c r="D88" s="16"/>
      <c r="E88" s="16"/>
      <c r="F88" s="16"/>
      <c r="G88" s="25"/>
    </row>
    <row r="89" spans="2:10">
      <c r="B89" s="244" t="s">
        <v>603</v>
      </c>
      <c r="C89" s="245" t="s">
        <v>604</v>
      </c>
      <c r="D89" s="16"/>
      <c r="E89" s="16"/>
      <c r="F89" s="16"/>
      <c r="G89" s="25"/>
    </row>
    <row r="90" spans="2:10">
      <c r="B90" s="246">
        <v>1</v>
      </c>
      <c r="C90" s="247">
        <f ca="1">$C$77/B90</f>
        <v>686.88569239781339</v>
      </c>
      <c r="D90" s="16"/>
      <c r="E90" s="16"/>
      <c r="F90" s="16"/>
      <c r="G90" s="25"/>
    </row>
    <row r="91" spans="2:10">
      <c r="B91" s="246">
        <v>1.2</v>
      </c>
      <c r="C91" s="247">
        <f t="shared" ref="C91:C95" ca="1" si="1">$C$77/B91</f>
        <v>572.40474366484455</v>
      </c>
      <c r="D91" s="16"/>
      <c r="E91" s="16"/>
      <c r="F91" s="16"/>
      <c r="G91" s="25"/>
    </row>
    <row r="92" spans="2:10">
      <c r="B92" s="246">
        <v>30</v>
      </c>
      <c r="C92" s="247">
        <f t="shared" ca="1" si="1"/>
        <v>22.89618974659378</v>
      </c>
      <c r="D92" s="16"/>
      <c r="E92" s="16"/>
      <c r="F92" s="16"/>
      <c r="G92" s="25"/>
    </row>
    <row r="93" spans="2:10">
      <c r="B93" s="246">
        <v>60</v>
      </c>
      <c r="C93" s="247">
        <f t="shared" ca="1" si="1"/>
        <v>11.44809487329689</v>
      </c>
      <c r="D93" s="16"/>
      <c r="E93" s="16"/>
      <c r="F93" s="16"/>
      <c r="G93" s="25"/>
    </row>
    <row r="94" spans="2:10">
      <c r="B94" s="246">
        <v>80</v>
      </c>
      <c r="C94" s="247">
        <f t="shared" ca="1" si="1"/>
        <v>8.586071154972668</v>
      </c>
      <c r="D94" s="16"/>
      <c r="E94" s="16"/>
      <c r="F94" s="16"/>
      <c r="G94" s="25"/>
    </row>
    <row r="95" spans="2:10" ht="14" thickBot="1">
      <c r="B95" s="248">
        <v>100</v>
      </c>
      <c r="C95" s="249">
        <f t="shared" ca="1" si="1"/>
        <v>6.8688569239781341</v>
      </c>
      <c r="E95" s="16"/>
      <c r="G95" s="25"/>
    </row>
    <row r="96" spans="2:10">
      <c r="E96" s="16"/>
      <c r="G96" s="25"/>
    </row>
    <row r="99" spans="1:10" ht="31">
      <c r="A99" s="239" t="s">
        <v>593</v>
      </c>
    </row>
    <row r="101" spans="1:10">
      <c r="A101" s="66"/>
      <c r="B101" s="359" t="s">
        <v>163</v>
      </c>
      <c r="C101" s="359"/>
      <c r="D101" s="359"/>
      <c r="E101" s="359"/>
      <c r="F101" s="359"/>
      <c r="G101" s="1"/>
      <c r="H101" s="25" t="s">
        <v>183</v>
      </c>
    </row>
    <row r="102" spans="1:10">
      <c r="A102" s="66"/>
      <c r="B102" s="67" t="s">
        <v>591</v>
      </c>
      <c r="C102" s="67" t="s">
        <v>216</v>
      </c>
      <c r="D102" s="67" t="s">
        <v>164</v>
      </c>
      <c r="E102" s="67" t="s">
        <v>165</v>
      </c>
      <c r="F102" s="67" t="s">
        <v>166</v>
      </c>
      <c r="G102" s="25"/>
      <c r="H102" s="25" t="s">
        <v>181</v>
      </c>
      <c r="I102" s="1"/>
      <c r="J102" s="1"/>
    </row>
    <row r="103" spans="1:10">
      <c r="A103" s="67" t="s">
        <v>167</v>
      </c>
      <c r="B103" s="66">
        <f>'Design Calculator'!H57</f>
        <v>200</v>
      </c>
      <c r="C103" s="68">
        <f>'Design Calculator'!H58</f>
        <v>90</v>
      </c>
      <c r="D103" s="68">
        <f>'Design Calculator'!H59</f>
        <v>40</v>
      </c>
      <c r="E103" s="68">
        <f>'Design Calculator'!H60</f>
        <v>10</v>
      </c>
      <c r="F103" s="68">
        <f>'Design Calculator'!H61</f>
        <v>8</v>
      </c>
      <c r="G103" s="3"/>
      <c r="H103" s="25" t="s">
        <v>182</v>
      </c>
      <c r="I103" s="1"/>
      <c r="J103" s="1"/>
    </row>
    <row r="104" spans="1:10" ht="15">
      <c r="B104" s="26" t="s">
        <v>457</v>
      </c>
      <c r="C104" s="2">
        <f>'Design Calculator'!H56</f>
        <v>175</v>
      </c>
      <c r="D104" s="240" t="s">
        <v>123</v>
      </c>
      <c r="E104" s="16"/>
      <c r="F104" s="16"/>
      <c r="G104" s="16"/>
      <c r="I104" s="1"/>
      <c r="J104" s="1"/>
    </row>
    <row r="105" spans="1:10">
      <c r="C105" s="1"/>
      <c r="D105" s="16"/>
      <c r="E105" s="16"/>
      <c r="F105" s="16"/>
      <c r="G105" s="16"/>
      <c r="I105" s="1"/>
      <c r="J105" s="1"/>
    </row>
    <row r="106" spans="1:10">
      <c r="B106" s="69" t="s">
        <v>350</v>
      </c>
      <c r="G106" s="152" t="s">
        <v>337</v>
      </c>
      <c r="J106" s="135"/>
    </row>
    <row r="107" spans="1:10">
      <c r="B107" s="25" t="s">
        <v>168</v>
      </c>
      <c r="C107">
        <f>IF('Design Calculator'!F30="Power Limit", 'Design Calculator'!$F$84,'Design Calculator'!F97)</f>
        <v>320</v>
      </c>
      <c r="D107" s="25" t="s">
        <v>8</v>
      </c>
      <c r="G107" s="25" t="s">
        <v>168</v>
      </c>
      <c r="H107">
        <f>Equations!H73</f>
        <v>102.13341346153844</v>
      </c>
      <c r="I107" s="25" t="s">
        <v>8</v>
      </c>
      <c r="J107" s="65"/>
    </row>
    <row r="108" spans="1:10">
      <c r="B108" s="25" t="s">
        <v>169</v>
      </c>
      <c r="C108">
        <f>VINMAX</f>
        <v>22</v>
      </c>
      <c r="D108" t="s">
        <v>86</v>
      </c>
      <c r="G108" s="25" t="s">
        <v>169</v>
      </c>
      <c r="H108">
        <f>VINMAX</f>
        <v>22</v>
      </c>
      <c r="I108" s="25" t="s">
        <v>86</v>
      </c>
    </row>
    <row r="109" spans="1:10">
      <c r="B109" s="25" t="s">
        <v>170</v>
      </c>
      <c r="C109">
        <f>IF(C107&lt;10, IF(C107&lt;1, 0.1, 1), IF(C107&lt;100, 10, 100))</f>
        <v>100</v>
      </c>
      <c r="D109" s="25" t="s">
        <v>8</v>
      </c>
      <c r="G109" s="25" t="s">
        <v>170</v>
      </c>
      <c r="H109">
        <f>IF(H107&lt;10, IF(H107&lt;1, 0.1, 1), IF(H107&lt;100, 10, 100))</f>
        <v>100</v>
      </c>
      <c r="I109" s="25" t="s">
        <v>8</v>
      </c>
    </row>
    <row r="110" spans="1:10">
      <c r="B110" s="25" t="s">
        <v>423</v>
      </c>
      <c r="C110">
        <f>SOA!C109</f>
        <v>100</v>
      </c>
      <c r="D110" s="25"/>
      <c r="G110" s="25" t="s">
        <v>423</v>
      </c>
      <c r="H110">
        <f>SOA!H109</f>
        <v>100</v>
      </c>
    </row>
    <row r="111" spans="1:10">
      <c r="B111" s="25" t="s">
        <v>171</v>
      </c>
      <c r="C111">
        <f>C109*10</f>
        <v>1000</v>
      </c>
      <c r="D111" s="25" t="s">
        <v>8</v>
      </c>
      <c r="G111" s="25" t="s">
        <v>413</v>
      </c>
      <c r="H111">
        <f>H109*10</f>
        <v>1000</v>
      </c>
      <c r="I111" s="25" t="s">
        <v>8</v>
      </c>
    </row>
    <row r="112" spans="1:10">
      <c r="B112" s="25" t="s">
        <v>424</v>
      </c>
      <c r="C112">
        <f>SOA!C111</f>
        <v>1000</v>
      </c>
      <c r="D112" s="25"/>
      <c r="G112" s="25" t="s">
        <v>424</v>
      </c>
      <c r="H112">
        <f>SOA!H111</f>
        <v>1000</v>
      </c>
    </row>
    <row r="113" spans="2:10">
      <c r="B113" s="25" t="s">
        <v>172</v>
      </c>
      <c r="C113">
        <f>IF(C110=0.01, B103, IF(C110=0.1, C103, IF(C110=1, D103, E103)))</f>
        <v>10</v>
      </c>
      <c r="D113" s="25" t="s">
        <v>25</v>
      </c>
      <c r="G113" s="25" t="s">
        <v>172</v>
      </c>
      <c r="H113">
        <f>IF(H110=0.01, B103, IF(H110=0.1, C103, IF(H110=1, D103, IF(H110=10,E103,F103))))</f>
        <v>8</v>
      </c>
    </row>
    <row r="114" spans="2:10">
      <c r="B114" s="25" t="s">
        <v>173</v>
      </c>
      <c r="C114">
        <f>IF(C112=100, F103, IF(C112=10, E103, IF(C112=1, D103,IF(C112=0.1, C103,B103))))</f>
        <v>200</v>
      </c>
      <c r="D114" s="25" t="s">
        <v>25</v>
      </c>
      <c r="G114" s="25" t="s">
        <v>173</v>
      </c>
      <c r="H114">
        <f>IF(H112=100, F103, IF(H112=10, E103, IF(H112=1, D103, IF(H112=0.1,B103,C103))))</f>
        <v>90</v>
      </c>
    </row>
    <row r="116" spans="2:10">
      <c r="B116" s="25" t="s">
        <v>177</v>
      </c>
      <c r="G116" s="25" t="s">
        <v>177</v>
      </c>
    </row>
    <row r="117" spans="2:10">
      <c r="B117" s="25" t="s">
        <v>174</v>
      </c>
      <c r="C117">
        <f>C113/C110^C118</f>
        <v>2.4999999999999988E-2</v>
      </c>
      <c r="F117" s="25"/>
      <c r="G117" s="25" t="s">
        <v>174</v>
      </c>
      <c r="H117">
        <f>H113/H110^H118</f>
        <v>6.3209876543209864E-2</v>
      </c>
    </row>
    <row r="118" spans="2:10">
      <c r="B118" s="25" t="s">
        <v>175</v>
      </c>
      <c r="C118">
        <f>LOG(C113/C114)/LOG(C110/C112)</f>
        <v>1.3010299956639813</v>
      </c>
      <c r="F118" s="25"/>
      <c r="G118" s="25" t="s">
        <v>175</v>
      </c>
      <c r="H118">
        <f>IF(H113=H114,0.000000000001,LOG(H113/H114)/LOG(H110/H112))</f>
        <v>1.0511525224473812</v>
      </c>
      <c r="I118" s="25" t="s">
        <v>418</v>
      </c>
    </row>
    <row r="119" spans="2:10">
      <c r="B119" s="25" t="s">
        <v>176</v>
      </c>
      <c r="C119">
        <f>C117*C107^C118</f>
        <v>45.416668535873306</v>
      </c>
      <c r="D119" s="25" t="s">
        <v>25</v>
      </c>
      <c r="G119" s="25" t="s">
        <v>176</v>
      </c>
      <c r="H119">
        <f>H117*H107^H118</f>
        <v>8.1795006725893504</v>
      </c>
    </row>
    <row r="121" spans="2:10">
      <c r="B121" s="26" t="s">
        <v>178</v>
      </c>
      <c r="C121">
        <f xml:space="preserve"> C119*C108</f>
        <v>999.16670778921275</v>
      </c>
      <c r="D121" s="25"/>
      <c r="G121" s="26" t="s">
        <v>178</v>
      </c>
      <c r="H121">
        <f>IF(H107&lt;1, H113, H119)*H108</f>
        <v>179.94901479696571</v>
      </c>
    </row>
    <row r="123" spans="2:10">
      <c r="G123" s="25" t="s">
        <v>357</v>
      </c>
      <c r="H123" t="str">
        <f>'Design Calculator'!F86</f>
        <v>Yes</v>
      </c>
    </row>
    <row r="124" spans="2:10">
      <c r="B124" s="65" t="s">
        <v>184</v>
      </c>
      <c r="C124">
        <f ca="1">(C104-TJDC3)/(C104-25)</f>
        <v>0.56000000000000005</v>
      </c>
      <c r="D124" s="16"/>
      <c r="E124" s="16"/>
      <c r="F124" s="16"/>
      <c r="G124" s="25" t="s">
        <v>356</v>
      </c>
      <c r="H124">
        <f ca="1">IF(H123="Yes", TJDC3,TAMB)</f>
        <v>91</v>
      </c>
    </row>
    <row r="125" spans="2:10">
      <c r="B125" s="26" t="s">
        <v>179</v>
      </c>
      <c r="C125">
        <f ca="1">IF((C121*C124)&lt;0,0.000000001,C121*C124)</f>
        <v>559.53335636195925</v>
      </c>
      <c r="D125" s="71" t="s">
        <v>87</v>
      </c>
      <c r="E125" s="16"/>
      <c r="F125" s="16"/>
    </row>
    <row r="126" spans="2:10">
      <c r="B126" s="1"/>
      <c r="C126" s="1"/>
      <c r="D126" s="16"/>
      <c r="E126" s="16"/>
      <c r="F126" s="16"/>
      <c r="G126" s="65" t="s">
        <v>184</v>
      </c>
      <c r="H126">
        <f ca="1">(C104-H124)/(C104-25)</f>
        <v>0.56000000000000005</v>
      </c>
    </row>
    <row r="127" spans="2:10">
      <c r="B127" s="1"/>
      <c r="D127" s="16"/>
      <c r="E127" s="16"/>
      <c r="F127" s="16"/>
      <c r="G127" s="26" t="s">
        <v>179</v>
      </c>
      <c r="H127">
        <f ca="1">IF((H121*H126)&lt;0,0.000000001,H121*H126)</f>
        <v>100.77144828630081</v>
      </c>
    </row>
    <row r="128" spans="2:10">
      <c r="B128" s="65" t="s">
        <v>384</v>
      </c>
      <c r="D128" s="16"/>
      <c r="E128" s="16"/>
      <c r="F128" s="16"/>
      <c r="I128" s="3"/>
      <c r="J128" s="3"/>
    </row>
    <row r="129" spans="2:10">
      <c r="C129" s="69" t="s">
        <v>599</v>
      </c>
      <c r="D129" s="163" t="s">
        <v>598</v>
      </c>
      <c r="E129" s="163" t="s">
        <v>597</v>
      </c>
      <c r="F129" s="163" t="s">
        <v>596</v>
      </c>
      <c r="G129" s="16"/>
      <c r="I129" s="3"/>
      <c r="J129" s="3"/>
    </row>
    <row r="130" spans="2:10">
      <c r="B130" s="65" t="s">
        <v>386</v>
      </c>
      <c r="C130" s="65">
        <v>0.01</v>
      </c>
      <c r="D130" s="1">
        <v>0.1</v>
      </c>
      <c r="E130" s="16">
        <v>1</v>
      </c>
      <c r="F130" s="1">
        <v>10</v>
      </c>
      <c r="G130" s="152"/>
    </row>
    <row r="131" spans="2:10">
      <c r="B131" s="65" t="s">
        <v>387</v>
      </c>
      <c r="C131" s="1">
        <v>0.1</v>
      </c>
      <c r="D131" s="1">
        <v>1</v>
      </c>
      <c r="E131" s="16">
        <v>10</v>
      </c>
      <c r="F131" s="1">
        <v>100</v>
      </c>
      <c r="G131" s="26"/>
    </row>
    <row r="132" spans="2:10">
      <c r="B132" s="65" t="s">
        <v>174</v>
      </c>
      <c r="C132" s="1">
        <f>B103/(C130^C133)</f>
        <v>40.500000000000007</v>
      </c>
      <c r="D132" s="1">
        <f>C103/(D130^D133)</f>
        <v>40</v>
      </c>
      <c r="E132" s="1">
        <f>D103/(E130^E133)</f>
        <v>40</v>
      </c>
      <c r="F132" s="1">
        <f>E103/(F130^F133)</f>
        <v>12.5</v>
      </c>
      <c r="G132" s="25"/>
    </row>
    <row r="133" spans="2:10">
      <c r="B133" s="65" t="s">
        <v>175</v>
      </c>
      <c r="C133" s="16">
        <f>LOG(B103/C103)/LOG(C130/C131)</f>
        <v>-0.34678748622465633</v>
      </c>
      <c r="D133" s="16">
        <f>LOG(C103/D103)/LOG(D130/D131)</f>
        <v>-0.35218251811136247</v>
      </c>
      <c r="E133" s="16">
        <f>LOG(D103/E103)/LOG(E130/E131)</f>
        <v>-0.6020599913279624</v>
      </c>
      <c r="F133" s="16">
        <f>LOG(E103/F103)/LOG(F130/F131)</f>
        <v>-9.691001300805642E-2</v>
      </c>
      <c r="G133" s="25"/>
    </row>
    <row r="134" spans="2:10">
      <c r="B134" s="65"/>
      <c r="C134" s="16"/>
      <c r="D134" s="16"/>
      <c r="E134" s="16"/>
      <c r="F134" s="16"/>
      <c r="G134" s="25"/>
    </row>
    <row r="135" spans="2:10" ht="14" thickBot="1">
      <c r="B135" s="241" t="s">
        <v>600</v>
      </c>
      <c r="D135" s="16"/>
      <c r="E135" s="16"/>
      <c r="F135" s="16"/>
      <c r="G135" s="25"/>
    </row>
    <row r="136" spans="2:10" ht="15">
      <c r="B136" s="242" t="s">
        <v>601</v>
      </c>
      <c r="C136" s="243" t="s">
        <v>602</v>
      </c>
      <c r="D136" s="16"/>
      <c r="E136" s="16"/>
      <c r="F136" s="16"/>
      <c r="G136" s="25"/>
    </row>
    <row r="137" spans="2:10">
      <c r="B137" s="244" t="s">
        <v>603</v>
      </c>
      <c r="C137" s="245" t="s">
        <v>604</v>
      </c>
      <c r="D137" s="16"/>
      <c r="E137" s="16"/>
      <c r="F137" s="16"/>
      <c r="G137" s="25"/>
    </row>
    <row r="138" spans="2:10">
      <c r="B138" s="246">
        <v>1</v>
      </c>
      <c r="C138" s="247">
        <f ca="1">$C$125/B138</f>
        <v>559.53335636195925</v>
      </c>
      <c r="D138" s="16"/>
      <c r="E138" s="16"/>
      <c r="F138" s="16"/>
      <c r="G138" s="25"/>
    </row>
    <row r="139" spans="2:10">
      <c r="B139" s="246">
        <v>1.2</v>
      </c>
      <c r="C139" s="247">
        <f t="shared" ref="C139:C143" ca="1" si="2">$C$125/B139</f>
        <v>466.27779696829941</v>
      </c>
      <c r="D139" s="16"/>
      <c r="E139" s="16"/>
      <c r="F139" s="16"/>
      <c r="G139" s="25"/>
    </row>
    <row r="140" spans="2:10">
      <c r="B140" s="246">
        <v>30</v>
      </c>
      <c r="C140" s="247">
        <f t="shared" ca="1" si="2"/>
        <v>18.651111878731975</v>
      </c>
      <c r="D140" s="16"/>
      <c r="E140" s="16"/>
      <c r="F140" s="16"/>
      <c r="G140" s="25"/>
    </row>
    <row r="141" spans="2:10">
      <c r="B141" s="246">
        <v>60</v>
      </c>
      <c r="C141" s="247">
        <f t="shared" ca="1" si="2"/>
        <v>9.3255559393659873</v>
      </c>
      <c r="D141" s="16"/>
      <c r="E141" s="16"/>
      <c r="F141" s="16"/>
      <c r="G141" s="25"/>
    </row>
    <row r="142" spans="2:10">
      <c r="B142" s="246">
        <v>80</v>
      </c>
      <c r="C142" s="247">
        <f t="shared" ca="1" si="2"/>
        <v>6.9941669545244904</v>
      </c>
      <c r="D142" s="16"/>
      <c r="E142" s="16"/>
      <c r="F142" s="16"/>
      <c r="G142" s="25"/>
    </row>
    <row r="143" spans="2:10" ht="14" thickBot="1">
      <c r="B143" s="248">
        <v>100</v>
      </c>
      <c r="C143" s="249">
        <f t="shared" ca="1" si="2"/>
        <v>5.5953335636195929</v>
      </c>
      <c r="E143" s="16"/>
      <c r="G143" s="25"/>
    </row>
    <row r="144" spans="2:10">
      <c r="E144" s="16"/>
      <c r="G144" s="25"/>
    </row>
  </sheetData>
  <mergeCells count="5">
    <mergeCell ref="B101:F101"/>
    <mergeCell ref="N8:P8"/>
    <mergeCell ref="R8:T8"/>
    <mergeCell ref="B5:F5"/>
    <mergeCell ref="B53:F53"/>
  </mergeCells>
  <pageMargins left="0.7" right="0.7" top="0.75" bottom="0.75" header="0.3" footer="0.3"/>
  <pageSetup orientation="portrait" horizontalDpi="1200" verticalDpi="12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C5:Y149"/>
  <sheetViews>
    <sheetView zoomScale="110" zoomScaleNormal="110" workbookViewId="0">
      <selection activeCell="C149" sqref="C149"/>
    </sheetView>
  </sheetViews>
  <sheetFormatPr baseColWidth="10" defaultColWidth="8.83203125" defaultRowHeight="13"/>
  <cols>
    <col min="4" max="4" width="37.5" customWidth="1"/>
    <col min="5" max="5" width="15.6640625" customWidth="1"/>
    <col min="9" max="9" width="13.33203125" customWidth="1"/>
    <col min="10" max="10" width="11.6640625" customWidth="1"/>
    <col min="11" max="11" width="11.5" customWidth="1"/>
    <col min="12" max="12" width="15" customWidth="1"/>
    <col min="13" max="13" width="13.6640625" customWidth="1"/>
  </cols>
  <sheetData>
    <row r="5" spans="3:4">
      <c r="C5" s="25" t="s">
        <v>363</v>
      </c>
    </row>
    <row r="7" spans="3:4">
      <c r="C7" s="25" t="s">
        <v>364</v>
      </c>
    </row>
    <row r="8" spans="3:4">
      <c r="C8" s="25" t="s">
        <v>365</v>
      </c>
    </row>
    <row r="10" spans="3:4">
      <c r="C10" s="25" t="s">
        <v>366</v>
      </c>
    </row>
    <row r="11" spans="3:4">
      <c r="C11" s="25" t="s">
        <v>406</v>
      </c>
    </row>
    <row r="12" spans="3:4">
      <c r="C12" s="25" t="s">
        <v>407</v>
      </c>
    </row>
    <row r="13" spans="3:4">
      <c r="C13" s="25" t="s">
        <v>408</v>
      </c>
    </row>
    <row r="14" spans="3:4">
      <c r="C14" s="25" t="s">
        <v>377</v>
      </c>
      <c r="D14" s="25" t="s">
        <v>378</v>
      </c>
    </row>
    <row r="15" spans="3:4" ht="12" customHeight="1">
      <c r="C15" s="25"/>
      <c r="D15" s="25" t="s">
        <v>380</v>
      </c>
    </row>
    <row r="16" spans="3:4" ht="12" customHeight="1">
      <c r="C16" s="25"/>
      <c r="D16" s="25"/>
    </row>
    <row r="17" spans="3:13" ht="30" customHeight="1">
      <c r="C17" s="25"/>
      <c r="D17" s="239" t="s">
        <v>590</v>
      </c>
    </row>
    <row r="18" spans="3:13" ht="12" customHeight="1">
      <c r="C18" s="25"/>
      <c r="D18" s="69" t="s">
        <v>392</v>
      </c>
      <c r="I18" s="26" t="s">
        <v>457</v>
      </c>
      <c r="J18">
        <f ca="1">'Design Calculator'!F56</f>
        <v>175</v>
      </c>
      <c r="K18" s="25" t="s">
        <v>615</v>
      </c>
    </row>
    <row r="19" spans="3:13">
      <c r="C19" s="25"/>
      <c r="D19" s="25" t="s">
        <v>390</v>
      </c>
      <c r="E19">
        <f ca="1">SOA!H28</f>
        <v>93.4</v>
      </c>
    </row>
    <row r="20" spans="3:13">
      <c r="D20" s="25" t="s">
        <v>375</v>
      </c>
      <c r="E20">
        <v>1.5</v>
      </c>
      <c r="I20" s="65" t="s">
        <v>384</v>
      </c>
      <c r="K20" s="16"/>
      <c r="L20" s="16"/>
      <c r="M20" s="16"/>
    </row>
    <row r="21" spans="3:13">
      <c r="D21" s="25" t="s">
        <v>367</v>
      </c>
      <c r="E21">
        <f>1/2*COUTMAX*VINMAX^2*0.000001</f>
        <v>0.72599999999999998</v>
      </c>
      <c r="J21" s="69" t="s">
        <v>594</v>
      </c>
      <c r="K21" s="163" t="s">
        <v>385</v>
      </c>
      <c r="L21" s="163" t="s">
        <v>613</v>
      </c>
      <c r="M21" s="163" t="s">
        <v>614</v>
      </c>
    </row>
    <row r="22" spans="3:13">
      <c r="D22" s="25" t="s">
        <v>369</v>
      </c>
      <c r="E22">
        <f>MAX(Equations!F71-E21,0)</f>
        <v>0.44240624999999989</v>
      </c>
      <c r="I22" s="65" t="s">
        <v>386</v>
      </c>
      <c r="J22" s="65">
        <v>0.01</v>
      </c>
      <c r="K22" s="1">
        <v>0.1</v>
      </c>
      <c r="L22" s="1">
        <v>1</v>
      </c>
      <c r="M22" s="1">
        <v>10</v>
      </c>
    </row>
    <row r="23" spans="3:13">
      <c r="D23" s="25" t="s">
        <v>370</v>
      </c>
      <c r="E23">
        <f>Equations!F70</f>
        <v>206.25</v>
      </c>
      <c r="I23" s="65" t="s">
        <v>387</v>
      </c>
      <c r="J23" s="1">
        <v>0.1</v>
      </c>
      <c r="K23" s="1">
        <v>1</v>
      </c>
      <c r="L23" s="1">
        <v>10</v>
      </c>
      <c r="M23" s="1">
        <v>100</v>
      </c>
    </row>
    <row r="24" spans="3:13">
      <c r="I24" s="65" t="s">
        <v>174</v>
      </c>
      <c r="J24" s="1">
        <f ca="1">SOA!C36</f>
        <v>267.76859504132238</v>
      </c>
      <c r="K24" s="1">
        <f ca="1">SOA!D36</f>
        <v>40.362880426103523</v>
      </c>
      <c r="L24" s="1">
        <f ca="1">SOA!E36</f>
        <v>40.362880426103516</v>
      </c>
      <c r="M24" s="1">
        <f ca="1">SOA!F36</f>
        <v>17.017399477402357</v>
      </c>
    </row>
    <row r="25" spans="3:13">
      <c r="D25" t="s">
        <v>180</v>
      </c>
      <c r="E25">
        <f>'Design Calculator'!F27</f>
        <v>0</v>
      </c>
      <c r="I25" s="65" t="s">
        <v>175</v>
      </c>
      <c r="J25" s="1">
        <f ca="1">SOA!C37</f>
        <v>-8.7150175718900116E-2</v>
      </c>
      <c r="K25" s="1">
        <f ca="1">SOA!D37</f>
        <v>-0.90892766427498251</v>
      </c>
      <c r="L25" s="1">
        <f ca="1">SOA!E37</f>
        <v>-0.56652968613308285</v>
      </c>
      <c r="M25" s="1">
        <f ca="1">SOA!F37</f>
        <v>-0.19144072868481182</v>
      </c>
    </row>
    <row r="26" spans="3:13">
      <c r="D26" t="s">
        <v>129</v>
      </c>
      <c r="E26" t="str">
        <f>'Design Calculator'!F28</f>
        <v>Constant Current</v>
      </c>
    </row>
    <row r="27" spans="3:13">
      <c r="D27" t="s">
        <v>130</v>
      </c>
      <c r="E27">
        <f>'Design Calculator'!F29</f>
        <v>0.2</v>
      </c>
      <c r="I27" s="135" t="s">
        <v>403</v>
      </c>
      <c r="J27" s="69" t="s">
        <v>142</v>
      </c>
    </row>
    <row r="28" spans="3:13">
      <c r="G28" t="s">
        <v>401</v>
      </c>
      <c r="I28" s="3">
        <f ca="1">SUM(E58:X58)</f>
        <v>1.354605470021627</v>
      </c>
      <c r="J28" s="3">
        <f ca="1">IF(I28=0, "NA", I28/AVERAGE(1, E32))</f>
        <v>1.5179693544503616</v>
      </c>
    </row>
    <row r="29" spans="3:13">
      <c r="D29" s="25" t="s">
        <v>420</v>
      </c>
      <c r="E29">
        <f>12/1</f>
        <v>12</v>
      </c>
      <c r="G29" t="s">
        <v>402</v>
      </c>
      <c r="I29" s="3">
        <f ca="1">SUM(E59:X59)</f>
        <v>0.12</v>
      </c>
      <c r="J29" s="3">
        <f ca="1">IF(I29=0, "NA", I29*AVERAGE(1,E32))</f>
        <v>0.10708559822108767</v>
      </c>
    </row>
    <row r="30" spans="3:13">
      <c r="D30" s="25" t="s">
        <v>421</v>
      </c>
      <c r="E30">
        <v>0.12</v>
      </c>
    </row>
    <row r="31" spans="3:13">
      <c r="D31" s="25" t="s">
        <v>393</v>
      </c>
      <c r="E31">
        <v>20</v>
      </c>
    </row>
    <row r="32" spans="3:13">
      <c r="D32" s="25" t="s">
        <v>394</v>
      </c>
      <c r="E32">
        <f>(E30/E29)^(1/(E31-1))</f>
        <v>0.78475997035146128</v>
      </c>
    </row>
    <row r="33" spans="4:24">
      <c r="D33" s="25"/>
    </row>
    <row r="34" spans="4:24">
      <c r="E34">
        <v>1</v>
      </c>
      <c r="F34">
        <v>2</v>
      </c>
      <c r="G34">
        <v>3</v>
      </c>
      <c r="H34">
        <v>4</v>
      </c>
      <c r="I34">
        <v>5</v>
      </c>
      <c r="J34">
        <v>6</v>
      </c>
      <c r="K34">
        <v>7</v>
      </c>
      <c r="L34">
        <v>8</v>
      </c>
      <c r="M34">
        <v>9</v>
      </c>
      <c r="N34">
        <v>10</v>
      </c>
      <c r="O34">
        <v>11</v>
      </c>
      <c r="P34">
        <v>12</v>
      </c>
      <c r="Q34">
        <v>13</v>
      </c>
      <c r="R34">
        <v>14</v>
      </c>
      <c r="S34">
        <v>15</v>
      </c>
      <c r="T34">
        <v>16</v>
      </c>
      <c r="U34">
        <v>17</v>
      </c>
      <c r="V34">
        <v>18</v>
      </c>
      <c r="W34">
        <v>19</v>
      </c>
      <c r="X34">
        <v>20</v>
      </c>
    </row>
    <row r="35" spans="4:24">
      <c r="D35" s="162" t="s">
        <v>368</v>
      </c>
      <c r="E35" s="162">
        <f>E29</f>
        <v>12</v>
      </c>
      <c r="F35" s="162">
        <f>E35*$E$32</f>
        <v>9.4171196442175358</v>
      </c>
      <c r="G35" s="162">
        <f t="shared" ref="G35:X35" si="0">F35*$E$32</f>
        <v>7.3901785327923166</v>
      </c>
      <c r="H35" s="162">
        <f t="shared" si="0"/>
        <v>5.7995162862861038</v>
      </c>
      <c r="I35" s="162">
        <f t="shared" si="0"/>
        <v>4.5512282288787</v>
      </c>
      <c r="J35" s="162">
        <f t="shared" si="0"/>
        <v>3.5716217299575823</v>
      </c>
      <c r="K35" s="162">
        <f t="shared" si="0"/>
        <v>2.802865762908147</v>
      </c>
      <c r="L35" s="162">
        <f t="shared" si="0"/>
        <v>2.1995768529989235</v>
      </c>
      <c r="M35" s="162">
        <f t="shared" si="0"/>
        <v>1.7261398659451956</v>
      </c>
      <c r="N35" s="162">
        <f t="shared" si="0"/>
        <v>1.354605470021627</v>
      </c>
      <c r="O35" s="162">
        <f t="shared" si="0"/>
        <v>1.0630401484920993</v>
      </c>
      <c r="P35" s="162">
        <f t="shared" si="0"/>
        <v>0.83423135541307281</v>
      </c>
      <c r="Q35" s="162">
        <f t="shared" si="0"/>
        <v>0.65467137374022233</v>
      </c>
      <c r="R35" s="162">
        <f t="shared" si="0"/>
        <v>0.51375988784632731</v>
      </c>
      <c r="S35" s="162">
        <f t="shared" si="0"/>
        <v>0.40317819435405389</v>
      </c>
      <c r="T35" s="162">
        <f t="shared" si="0"/>
        <v>0.316398107847643</v>
      </c>
      <c r="U35" s="162">
        <f t="shared" si="0"/>
        <v>0.24829656973377476</v>
      </c>
      <c r="V35" s="162">
        <f t="shared" si="0"/>
        <v>0.19485320870264661</v>
      </c>
      <c r="W35" s="162">
        <f t="shared" si="0"/>
        <v>0.15291299828437604</v>
      </c>
      <c r="X35" s="162">
        <f t="shared" si="0"/>
        <v>0.12</v>
      </c>
    </row>
    <row r="36" spans="4:24">
      <c r="D36" s="25" t="s">
        <v>371</v>
      </c>
      <c r="E36">
        <f t="shared" ref="E36:X36" si="1">VINMAX/E35</f>
        <v>1.8333333333333333</v>
      </c>
      <c r="F36">
        <f t="shared" si="1"/>
        <v>2.3361708071224117</v>
      </c>
      <c r="G36">
        <f t="shared" si="1"/>
        <v>2.9769240218459898</v>
      </c>
      <c r="H36">
        <f t="shared" si="1"/>
        <v>3.7934198153771144</v>
      </c>
      <c r="I36">
        <f t="shared" si="1"/>
        <v>4.8338599810056566</v>
      </c>
      <c r="J36">
        <f t="shared" si="1"/>
        <v>6.1596668581869327</v>
      </c>
      <c r="K36">
        <f t="shared" si="1"/>
        <v>7.8491093976522217</v>
      </c>
      <c r="L36">
        <f t="shared" si="1"/>
        <v>10.001923765475617</v>
      </c>
      <c r="M36">
        <f t="shared" si="1"/>
        <v>12.745201263255275</v>
      </c>
      <c r="N36">
        <f t="shared" si="1"/>
        <v>16.240891157518181</v>
      </c>
      <c r="O36">
        <f t="shared" si="1"/>
        <v>20.69536134755263</v>
      </c>
      <c r="P36">
        <f t="shared" si="1"/>
        <v>26.371581285273816</v>
      </c>
      <c r="Q36">
        <f t="shared" si="1"/>
        <v>33.604646365261324</v>
      </c>
      <c r="R36">
        <f t="shared" si="1"/>
        <v>42.821560266652241</v>
      </c>
      <c r="S36">
        <f t="shared" si="1"/>
        <v>54.566443096574162</v>
      </c>
      <c r="T36">
        <f t="shared" si="1"/>
        <v>69.532653496757916</v>
      </c>
      <c r="U36">
        <f t="shared" si="1"/>
        <v>88.603721040482142</v>
      </c>
      <c r="V36">
        <f t="shared" si="1"/>
        <v>112.90550536210483</v>
      </c>
      <c r="W36">
        <f t="shared" si="1"/>
        <v>143.87266123110123</v>
      </c>
      <c r="X36">
        <f t="shared" si="1"/>
        <v>183.33333333333334</v>
      </c>
    </row>
    <row r="37" spans="4:24">
      <c r="D37" s="25" t="s">
        <v>372</v>
      </c>
      <c r="E37">
        <f t="shared" ref="E37:X37" si="2">E35*COUTMAX/1000</f>
        <v>36</v>
      </c>
      <c r="F37">
        <f t="shared" si="2"/>
        <v>28.251358932652607</v>
      </c>
      <c r="G37">
        <f t="shared" si="2"/>
        <v>22.170535598376951</v>
      </c>
      <c r="H37">
        <f t="shared" si="2"/>
        <v>17.398548858858309</v>
      </c>
      <c r="I37">
        <f t="shared" si="2"/>
        <v>13.653684686636099</v>
      </c>
      <c r="J37">
        <f t="shared" si="2"/>
        <v>10.714865189872748</v>
      </c>
      <c r="K37">
        <f t="shared" si="2"/>
        <v>8.4085972887244402</v>
      </c>
      <c r="L37">
        <f t="shared" si="2"/>
        <v>6.5987305589967704</v>
      </c>
      <c r="M37">
        <f t="shared" si="2"/>
        <v>5.1784195978355863</v>
      </c>
      <c r="N37">
        <f t="shared" si="2"/>
        <v>4.0638164100648808</v>
      </c>
      <c r="O37">
        <f t="shared" si="2"/>
        <v>3.189120445476298</v>
      </c>
      <c r="P37">
        <f t="shared" si="2"/>
        <v>2.5026940662392185</v>
      </c>
      <c r="Q37">
        <f t="shared" si="2"/>
        <v>1.964014121220667</v>
      </c>
      <c r="R37">
        <f t="shared" si="2"/>
        <v>1.541279663538982</v>
      </c>
      <c r="S37">
        <f t="shared" si="2"/>
        <v>1.2095345830621616</v>
      </c>
      <c r="T37">
        <f t="shared" si="2"/>
        <v>0.94919432354292899</v>
      </c>
      <c r="U37">
        <f t="shared" si="2"/>
        <v>0.74488970920132436</v>
      </c>
      <c r="V37">
        <f t="shared" si="2"/>
        <v>0.58455962610793988</v>
      </c>
      <c r="W37">
        <f t="shared" si="2"/>
        <v>0.45873899485312813</v>
      </c>
      <c r="X37">
        <f t="shared" si="2"/>
        <v>0.36</v>
      </c>
    </row>
    <row r="38" spans="4:24">
      <c r="D38" s="25" t="s">
        <v>373</v>
      </c>
      <c r="E38">
        <f>$E$21+$E$22*E36/$E$23</f>
        <v>0.72993249999999998</v>
      </c>
      <c r="F38">
        <f>$E$21+$E$22*F36/$E$23</f>
        <v>0.73101108638127754</v>
      </c>
      <c r="G38">
        <f>$E$21+$E$22*G36/$E$23</f>
        <v>0.73238550202685959</v>
      </c>
      <c r="H38">
        <f t="shared" ref="H38:J38" si="3">$E$21+$E$22*H36/$E$23</f>
        <v>0.73413688550398393</v>
      </c>
      <c r="I38">
        <f t="shared" si="3"/>
        <v>0.73636862965925709</v>
      </c>
      <c r="J38">
        <f t="shared" si="3"/>
        <v>0.73921248541081097</v>
      </c>
      <c r="K38">
        <f>$E$21+$E$22*K36/$E$23</f>
        <v>0.74283633965796403</v>
      </c>
      <c r="L38">
        <f t="shared" ref="L38:R38" si="4">$E$21+$E$22*L36/$E$23</f>
        <v>0.7474541264769452</v>
      </c>
      <c r="M38">
        <f t="shared" si="4"/>
        <v>0.75333845670968258</v>
      </c>
      <c r="N38">
        <f t="shared" si="4"/>
        <v>0.76083671153287646</v>
      </c>
      <c r="O38">
        <f t="shared" si="4"/>
        <v>0.77039155009050031</v>
      </c>
      <c r="P38">
        <f t="shared" si="4"/>
        <v>0.78256704185691228</v>
      </c>
      <c r="Q38">
        <f t="shared" si="4"/>
        <v>0.7980819664534855</v>
      </c>
      <c r="R38">
        <f t="shared" si="4"/>
        <v>0.81785224677196899</v>
      </c>
      <c r="S38">
        <f t="shared" ref="S38:X38" si="5">$E$21+$E$22*S36/$E$23</f>
        <v>0.84304502044215157</v>
      </c>
      <c r="T38">
        <f t="shared" si="5"/>
        <v>0.87514754175054565</v>
      </c>
      <c r="U38">
        <f t="shared" si="5"/>
        <v>0.91605498163183419</v>
      </c>
      <c r="V38">
        <f t="shared" si="5"/>
        <v>0.96818230900171476</v>
      </c>
      <c r="W38">
        <f>$E$21+$E$22*W36/$E$23</f>
        <v>1.034606858340712</v>
      </c>
      <c r="X38">
        <f t="shared" si="5"/>
        <v>1.1192499999999999</v>
      </c>
    </row>
    <row r="39" spans="4:24">
      <c r="D39" s="25" t="s">
        <v>376</v>
      </c>
      <c r="E39">
        <f t="shared" ref="E39:X39" si="6">(E37+IF($E$26="Resistive",0,IF($E$25=0,$E$27,0)))*VINMAX</f>
        <v>796.40000000000009</v>
      </c>
      <c r="F39">
        <f t="shared" si="6"/>
        <v>625.9298965183574</v>
      </c>
      <c r="G39">
        <f t="shared" si="6"/>
        <v>492.15178316429291</v>
      </c>
      <c r="H39">
        <f t="shared" si="6"/>
        <v>387.16807489488281</v>
      </c>
      <c r="I39">
        <f t="shared" si="6"/>
        <v>304.78106310599418</v>
      </c>
      <c r="J39">
        <f t="shared" si="6"/>
        <v>240.12703417720044</v>
      </c>
      <c r="K39">
        <f t="shared" si="6"/>
        <v>189.38914035193767</v>
      </c>
      <c r="L39">
        <f t="shared" si="6"/>
        <v>149.57207229792894</v>
      </c>
      <c r="M39">
        <f t="shared" si="6"/>
        <v>118.3252311523829</v>
      </c>
      <c r="N39">
        <f t="shared" si="6"/>
        <v>93.803961021427384</v>
      </c>
      <c r="O39">
        <f t="shared" si="6"/>
        <v>74.560649800478558</v>
      </c>
      <c r="P39">
        <f t="shared" si="6"/>
        <v>59.459269457262813</v>
      </c>
      <c r="Q39">
        <f t="shared" si="6"/>
        <v>47.608310666854678</v>
      </c>
      <c r="R39">
        <f t="shared" si="6"/>
        <v>38.308152597857607</v>
      </c>
      <c r="S39">
        <f t="shared" si="6"/>
        <v>31.009760827367554</v>
      </c>
      <c r="T39">
        <f t="shared" si="6"/>
        <v>25.282275117944437</v>
      </c>
      <c r="U39">
        <f t="shared" si="6"/>
        <v>20.787573602429138</v>
      </c>
      <c r="V39">
        <f t="shared" si="6"/>
        <v>17.260311774374678</v>
      </c>
      <c r="W39">
        <f t="shared" si="6"/>
        <v>14.492257886768819</v>
      </c>
      <c r="X39">
        <f t="shared" si="6"/>
        <v>12.32</v>
      </c>
    </row>
    <row r="40" spans="4:24">
      <c r="D40" s="25" t="s">
        <v>374</v>
      </c>
      <c r="E40">
        <f t="shared" ref="E40:X40" si="7">(E37+IF($E$26="Resistive", $E$25/$E$27,$E$27)) *(VINMAX-$E$25)</f>
        <v>796.40000000000009</v>
      </c>
      <c r="F40">
        <f t="shared" si="7"/>
        <v>625.9298965183574</v>
      </c>
      <c r="G40">
        <f t="shared" si="7"/>
        <v>492.15178316429291</v>
      </c>
      <c r="H40">
        <f t="shared" si="7"/>
        <v>387.16807489488281</v>
      </c>
      <c r="I40">
        <f t="shared" si="7"/>
        <v>304.78106310599418</v>
      </c>
      <c r="J40">
        <f t="shared" si="7"/>
        <v>240.12703417720044</v>
      </c>
      <c r="K40">
        <f t="shared" si="7"/>
        <v>189.38914035193767</v>
      </c>
      <c r="L40">
        <f t="shared" si="7"/>
        <v>149.57207229792894</v>
      </c>
      <c r="M40">
        <f t="shared" si="7"/>
        <v>118.3252311523829</v>
      </c>
      <c r="N40">
        <f t="shared" si="7"/>
        <v>93.803961021427384</v>
      </c>
      <c r="O40">
        <f t="shared" si="7"/>
        <v>74.560649800478558</v>
      </c>
      <c r="P40">
        <f t="shared" si="7"/>
        <v>59.459269457262813</v>
      </c>
      <c r="Q40">
        <f t="shared" si="7"/>
        <v>47.608310666854678</v>
      </c>
      <c r="R40">
        <f t="shared" si="7"/>
        <v>38.308152597857607</v>
      </c>
      <c r="S40">
        <f t="shared" si="7"/>
        <v>31.009760827367554</v>
      </c>
      <c r="T40">
        <f t="shared" si="7"/>
        <v>25.282275117944437</v>
      </c>
      <c r="U40">
        <f t="shared" si="7"/>
        <v>20.787573602429138</v>
      </c>
      <c r="V40">
        <f t="shared" si="7"/>
        <v>17.260311774374678</v>
      </c>
      <c r="W40">
        <f t="shared" si="7"/>
        <v>14.492257886768819</v>
      </c>
      <c r="X40">
        <f t="shared" si="7"/>
        <v>12.32</v>
      </c>
    </row>
    <row r="41" spans="4:24">
      <c r="D41" s="25" t="s">
        <v>379</v>
      </c>
      <c r="E41">
        <f t="shared" ref="E41:X41" si="8">IF($E$26="Resistive", -$E$27*E37/2 + VINMAX/2, -1)</f>
        <v>-1</v>
      </c>
      <c r="F41">
        <f t="shared" si="8"/>
        <v>-1</v>
      </c>
      <c r="G41">
        <f t="shared" si="8"/>
        <v>-1</v>
      </c>
      <c r="H41">
        <f t="shared" si="8"/>
        <v>-1</v>
      </c>
      <c r="I41">
        <f t="shared" si="8"/>
        <v>-1</v>
      </c>
      <c r="J41">
        <f t="shared" si="8"/>
        <v>-1</v>
      </c>
      <c r="K41">
        <f t="shared" si="8"/>
        <v>-1</v>
      </c>
      <c r="L41">
        <f t="shared" si="8"/>
        <v>-1</v>
      </c>
      <c r="M41">
        <f t="shared" si="8"/>
        <v>-1</v>
      </c>
      <c r="N41">
        <f t="shared" si="8"/>
        <v>-1</v>
      </c>
      <c r="O41">
        <f t="shared" si="8"/>
        <v>-1</v>
      </c>
      <c r="P41">
        <f t="shared" si="8"/>
        <v>-1</v>
      </c>
      <c r="Q41">
        <f t="shared" si="8"/>
        <v>-1</v>
      </c>
      <c r="R41">
        <f t="shared" si="8"/>
        <v>-1</v>
      </c>
      <c r="S41">
        <f t="shared" si="8"/>
        <v>-1</v>
      </c>
      <c r="T41">
        <f t="shared" si="8"/>
        <v>-1</v>
      </c>
      <c r="U41">
        <f t="shared" si="8"/>
        <v>-1</v>
      </c>
      <c r="V41">
        <f t="shared" si="8"/>
        <v>-1</v>
      </c>
      <c r="W41">
        <f t="shared" si="8"/>
        <v>-1</v>
      </c>
      <c r="X41">
        <f t="shared" si="8"/>
        <v>-1</v>
      </c>
    </row>
    <row r="42" spans="4:24">
      <c r="D42" s="25" t="s">
        <v>381</v>
      </c>
      <c r="E42">
        <f t="shared" ref="E42:X42" si="9">IF(AND(E41&lt;VINMAX, E41&gt;$E$25), (VINMAX-E41)*(E37+E41/$E$27), 0)</f>
        <v>0</v>
      </c>
      <c r="F42">
        <f t="shared" si="9"/>
        <v>0</v>
      </c>
      <c r="G42">
        <f t="shared" si="9"/>
        <v>0</v>
      </c>
      <c r="H42">
        <f t="shared" si="9"/>
        <v>0</v>
      </c>
      <c r="I42">
        <f t="shared" si="9"/>
        <v>0</v>
      </c>
      <c r="J42">
        <f t="shared" si="9"/>
        <v>0</v>
      </c>
      <c r="K42">
        <f t="shared" si="9"/>
        <v>0</v>
      </c>
      <c r="L42">
        <f t="shared" si="9"/>
        <v>0</v>
      </c>
      <c r="M42">
        <f t="shared" si="9"/>
        <v>0</v>
      </c>
      <c r="N42">
        <f t="shared" si="9"/>
        <v>0</v>
      </c>
      <c r="O42">
        <f t="shared" si="9"/>
        <v>0</v>
      </c>
      <c r="P42">
        <f t="shared" si="9"/>
        <v>0</v>
      </c>
      <c r="Q42">
        <f t="shared" si="9"/>
        <v>0</v>
      </c>
      <c r="R42">
        <f t="shared" si="9"/>
        <v>0</v>
      </c>
      <c r="S42">
        <f t="shared" si="9"/>
        <v>0</v>
      </c>
      <c r="T42">
        <f t="shared" si="9"/>
        <v>0</v>
      </c>
      <c r="U42">
        <f t="shared" si="9"/>
        <v>0</v>
      </c>
      <c r="V42">
        <f t="shared" si="9"/>
        <v>0</v>
      </c>
      <c r="W42">
        <f t="shared" si="9"/>
        <v>0</v>
      </c>
      <c r="X42">
        <f t="shared" si="9"/>
        <v>0</v>
      </c>
    </row>
    <row r="44" spans="4:24">
      <c r="D44" s="25" t="s">
        <v>382</v>
      </c>
      <c r="E44">
        <f>MAX(E39,E40,E42)</f>
        <v>796.40000000000009</v>
      </c>
      <c r="F44">
        <f>MAX(F39,F40,F42)</f>
        <v>625.9298965183574</v>
      </c>
      <c r="G44">
        <f>MAX(G39,G40,G42)</f>
        <v>492.15178316429291</v>
      </c>
      <c r="H44">
        <f t="shared" ref="H44:J44" si="10">MAX(H39,H40,H42)</f>
        <v>387.16807489488281</v>
      </c>
      <c r="I44">
        <f t="shared" si="10"/>
        <v>304.78106310599418</v>
      </c>
      <c r="J44">
        <f t="shared" si="10"/>
        <v>240.12703417720044</v>
      </c>
      <c r="K44">
        <f>MAX(K39,K40,K42)</f>
        <v>189.38914035193767</v>
      </c>
      <c r="L44">
        <f t="shared" ref="L44:R44" si="11">MAX(L39,L40,L42)</f>
        <v>149.57207229792894</v>
      </c>
      <c r="M44">
        <f t="shared" si="11"/>
        <v>118.3252311523829</v>
      </c>
      <c r="N44">
        <f t="shared" si="11"/>
        <v>93.803961021427384</v>
      </c>
      <c r="O44">
        <f t="shared" si="11"/>
        <v>74.560649800478558</v>
      </c>
      <c r="P44">
        <f t="shared" si="11"/>
        <v>59.459269457262813</v>
      </c>
      <c r="Q44">
        <f t="shared" si="11"/>
        <v>47.608310666854678</v>
      </c>
      <c r="R44">
        <f t="shared" si="11"/>
        <v>38.308152597857607</v>
      </c>
      <c r="S44">
        <f t="shared" ref="S44:X44" si="12">MAX(S39,S40,S42)</f>
        <v>31.009760827367554</v>
      </c>
      <c r="T44">
        <f t="shared" si="12"/>
        <v>25.282275117944437</v>
      </c>
      <c r="U44">
        <f t="shared" si="12"/>
        <v>20.787573602429138</v>
      </c>
      <c r="V44">
        <f t="shared" si="12"/>
        <v>17.260311774374678</v>
      </c>
      <c r="W44">
        <f t="shared" si="12"/>
        <v>14.492257886768819</v>
      </c>
      <c r="X44">
        <f t="shared" si="12"/>
        <v>12.32</v>
      </c>
    </row>
    <row r="45" spans="4:24">
      <c r="D45" s="25" t="s">
        <v>383</v>
      </c>
      <c r="E45">
        <f>E38/E44*1000</f>
        <v>0.9165400552486187</v>
      </c>
      <c r="F45">
        <f>F38/F44*1000</f>
        <v>1.1678801259492775</v>
      </c>
      <c r="G45">
        <f>G38/G44*1000</f>
        <v>1.4881293273347149</v>
      </c>
      <c r="H45">
        <f t="shared" ref="H45:J45" si="13">H38/H44*1000</f>
        <v>1.8961710252150932</v>
      </c>
      <c r="I45">
        <f t="shared" si="13"/>
        <v>2.4160576846704189</v>
      </c>
      <c r="J45">
        <f t="shared" si="13"/>
        <v>3.0784225855440881</v>
      </c>
      <c r="K45">
        <f>K38/K44*1000</f>
        <v>3.9222752596984582</v>
      </c>
      <c r="L45">
        <f t="shared" ref="L45" si="14">L38/L44*1000</f>
        <v>4.997284018289923</v>
      </c>
      <c r="M45">
        <f t="shared" ref="M45:N45" si="15">M38/M44*1000</f>
        <v>6.3666764000613698</v>
      </c>
      <c r="N45">
        <f t="shared" si="15"/>
        <v>8.1109230702857058</v>
      </c>
      <c r="O45">
        <f t="shared" ref="O45" si="16">O38/O44*1000</f>
        <v>10.332414647029481</v>
      </c>
      <c r="P45">
        <f t="shared" ref="P45" si="17">P38/P44*1000</f>
        <v>13.161396851997877</v>
      </c>
      <c r="Q45">
        <f t="shared" ref="Q45:R45" si="18">Q38/Q44*1000</f>
        <v>16.763501062622606</v>
      </c>
      <c r="R45">
        <f t="shared" si="18"/>
        <v>21.349300117847697</v>
      </c>
      <c r="S45">
        <f t="shared" ref="S45" si="19">S38/S44*1000</f>
        <v>27.186440589961762</v>
      </c>
      <c r="T45">
        <f t="shared" ref="T45:U45" si="20">T38/T44*1000</f>
        <v>34.615062832276429</v>
      </c>
      <c r="U45">
        <f t="shared" si="20"/>
        <v>44.067431781686551</v>
      </c>
      <c r="V45">
        <f t="shared" ref="V45" si="21">V38/V44*1000</f>
        <v>56.092979180081521</v>
      </c>
      <c r="W45">
        <f t="shared" ref="W45" si="22">W38/W44*1000</f>
        <v>71.390315189277032</v>
      </c>
      <c r="X45">
        <f t="shared" ref="X45" si="23">X38/X44*1000</f>
        <v>90.848214285714263</v>
      </c>
    </row>
    <row r="47" spans="4:24">
      <c r="D47" s="25" t="s">
        <v>174</v>
      </c>
      <c r="E47">
        <f ca="1">IF(E45&lt;$J$23,$J$24,IF(E45&lt;$K$23,$K$24,IF(E45&lt;$L$23,$L$24,$M$24)))</f>
        <v>40.362880426103523</v>
      </c>
      <c r="F47">
        <f ca="1">IF(F45&lt;$J$23,$J$24,IF(F45&lt;$K$23,$K$24,IF(F45&lt;$L$23,$L$24,$M$24)))</f>
        <v>40.362880426103516</v>
      </c>
      <c r="G47">
        <f ca="1">IF(G45&lt;$J$23,$J$24,IF(G45&lt;$K$23,$K$24,IF(G45&lt;$L$23,$L$24,$M$24)))</f>
        <v>40.362880426103516</v>
      </c>
      <c r="H47">
        <f t="shared" ref="H47:I47" ca="1" si="24">IF(H45&lt;$J$23,$J$24,IF(H45&lt;$K$23,$K$24,IF(H45&lt;$L$23,$L$24,$M$24)))</f>
        <v>40.362880426103516</v>
      </c>
      <c r="I47">
        <f t="shared" ca="1" si="24"/>
        <v>40.362880426103516</v>
      </c>
      <c r="J47">
        <f ca="1">IF(J45&lt;$J$23,$J$24,IF(J45&lt;$K$23,$K$24,IF(J45&lt;$L$23,$L$24,$M$24)))</f>
        <v>40.362880426103516</v>
      </c>
      <c r="K47">
        <f ca="1">IF(K45&lt;$J$23,$J$24,IF(K45&lt;$K$23,$K$24,IF(K45&lt;$L$23,$L$24,$M$24)))</f>
        <v>40.362880426103516</v>
      </c>
      <c r="L47">
        <f t="shared" ref="L47:R47" ca="1" si="25">IF(L45&lt;$J$23,$J$24,IF(L45&lt;$K$23,$K$24,IF(L45&lt;$L$23,$L$24,$M$24)))</f>
        <v>40.362880426103516</v>
      </c>
      <c r="M47">
        <f t="shared" ca="1" si="25"/>
        <v>40.362880426103516</v>
      </c>
      <c r="N47">
        <f t="shared" ca="1" si="25"/>
        <v>40.362880426103516</v>
      </c>
      <c r="O47">
        <f t="shared" ca="1" si="25"/>
        <v>17.017399477402357</v>
      </c>
      <c r="P47">
        <f t="shared" ca="1" si="25"/>
        <v>17.017399477402357</v>
      </c>
      <c r="Q47">
        <f t="shared" ca="1" si="25"/>
        <v>17.017399477402357</v>
      </c>
      <c r="R47">
        <f t="shared" ca="1" si="25"/>
        <v>17.017399477402357</v>
      </c>
      <c r="S47">
        <f t="shared" ref="S47:X47" ca="1" si="26">IF(S45&lt;$J$23,$J$24,IF(S45&lt;$K$23,$K$24,IF(S45&lt;$L$23,$L$24,$M$24)))</f>
        <v>17.017399477402357</v>
      </c>
      <c r="T47">
        <f t="shared" ca="1" si="26"/>
        <v>17.017399477402357</v>
      </c>
      <c r="U47">
        <f t="shared" ca="1" si="26"/>
        <v>17.017399477402357</v>
      </c>
      <c r="V47">
        <f t="shared" ca="1" si="26"/>
        <v>17.017399477402357</v>
      </c>
      <c r="W47">
        <f t="shared" ca="1" si="26"/>
        <v>17.017399477402357</v>
      </c>
      <c r="X47">
        <f t="shared" ca="1" si="26"/>
        <v>17.017399477402357</v>
      </c>
    </row>
    <row r="48" spans="4:24">
      <c r="D48" s="25" t="s">
        <v>175</v>
      </c>
      <c r="E48">
        <f ca="1">IF(E45&lt;$J$23,$J$25,IF(E45&lt;$K$23,$K$25,IF(E45&lt;$L$23,$L$25,$M$25)))</f>
        <v>-0.90892766427498251</v>
      </c>
      <c r="F48">
        <f ca="1">IF(F45&lt;$J$23,$J$25,IF(F45&lt;$K$23,$K$25,IF(F45&lt;$L$23,$L$25,$M$25)))</f>
        <v>-0.56652968613308285</v>
      </c>
      <c r="G48">
        <f ca="1">IF(G45&lt;$J$23,$J$25,IF(G45&lt;$K$23,$K$25,IF(G45&lt;$L$23,$L$25,$M$25)))</f>
        <v>-0.56652968613308285</v>
      </c>
      <c r="H48">
        <f t="shared" ref="H48:J48" ca="1" si="27">IF(H45&lt;$J$23,$J$25,IF(H45&lt;$K$23,$K$25,IF(H45&lt;$L$23,$L$25,$M$25)))</f>
        <v>-0.56652968613308285</v>
      </c>
      <c r="I48">
        <f t="shared" ca="1" si="27"/>
        <v>-0.56652968613308285</v>
      </c>
      <c r="J48">
        <f t="shared" ca="1" si="27"/>
        <v>-0.56652968613308285</v>
      </c>
      <c r="K48">
        <f ca="1">IF(K45&lt;$J$23,$J$25,IF(K45&lt;$K$23,$K$25,IF(K45&lt;$L$23,$L$25,$M$25)))</f>
        <v>-0.56652968613308285</v>
      </c>
      <c r="L48">
        <f t="shared" ref="L48:R48" ca="1" si="28">IF(L45&lt;$J$23,$J$25,IF(L45&lt;$K$23,$K$25,IF(L45&lt;$L$23,$L$25,$M$25)))</f>
        <v>-0.56652968613308285</v>
      </c>
      <c r="M48">
        <f t="shared" ca="1" si="28"/>
        <v>-0.56652968613308285</v>
      </c>
      <c r="N48">
        <f t="shared" ca="1" si="28"/>
        <v>-0.56652968613308285</v>
      </c>
      <c r="O48">
        <f t="shared" ca="1" si="28"/>
        <v>-0.19144072868481182</v>
      </c>
      <c r="P48">
        <f t="shared" ca="1" si="28"/>
        <v>-0.19144072868481182</v>
      </c>
      <c r="Q48">
        <f t="shared" ca="1" si="28"/>
        <v>-0.19144072868481182</v>
      </c>
      <c r="R48">
        <f t="shared" ca="1" si="28"/>
        <v>-0.19144072868481182</v>
      </c>
      <c r="S48">
        <f t="shared" ref="S48:X48" ca="1" si="29">IF(S45&lt;$J$23,$J$25,IF(S45&lt;$K$23,$K$25,IF(S45&lt;$L$23,$L$25,$M$25)))</f>
        <v>-0.19144072868481182</v>
      </c>
      <c r="T48">
        <f t="shared" ca="1" si="29"/>
        <v>-0.19144072868481182</v>
      </c>
      <c r="U48">
        <f t="shared" ca="1" si="29"/>
        <v>-0.19144072868481182</v>
      </c>
      <c r="V48">
        <f t="shared" ca="1" si="29"/>
        <v>-0.19144072868481182</v>
      </c>
      <c r="W48">
        <f t="shared" ca="1" si="29"/>
        <v>-0.19144072868481182</v>
      </c>
      <c r="X48">
        <f t="shared" ca="1" si="29"/>
        <v>-0.19144072868481182</v>
      </c>
    </row>
    <row r="50" spans="4:25">
      <c r="D50" s="25" t="s">
        <v>388</v>
      </c>
      <c r="E50">
        <f t="shared" ref="E50:X50" ca="1" si="30">E47*E45^E48*VINMAX</f>
        <v>961.18376507580547</v>
      </c>
      <c r="F50">
        <f t="shared" ca="1" si="30"/>
        <v>813.24558180192912</v>
      </c>
      <c r="G50">
        <f t="shared" ca="1" si="30"/>
        <v>708.92250658101534</v>
      </c>
      <c r="H50">
        <f t="shared" ca="1" si="30"/>
        <v>617.98648284300066</v>
      </c>
      <c r="I50">
        <f t="shared" ca="1" si="30"/>
        <v>538.72009328886156</v>
      </c>
      <c r="J50">
        <f ca="1">J47*J45^J48*VINMAX</f>
        <v>469.62627754798979</v>
      </c>
      <c r="K50">
        <f t="shared" ca="1" si="30"/>
        <v>409.40005480228888</v>
      </c>
      <c r="L50">
        <f t="shared" ca="1" si="30"/>
        <v>356.9038721079018</v>
      </c>
      <c r="M50">
        <f t="shared" ca="1" si="30"/>
        <v>311.1461124974461</v>
      </c>
      <c r="N50">
        <f t="shared" ca="1" si="30"/>
        <v>271.26235665666439</v>
      </c>
      <c r="O50">
        <f t="shared" ca="1" si="30"/>
        <v>239.41774611717187</v>
      </c>
      <c r="P50">
        <f t="shared" ca="1" si="30"/>
        <v>228.5787677717388</v>
      </c>
      <c r="Q50">
        <f t="shared" ca="1" si="30"/>
        <v>218.23409368113806</v>
      </c>
      <c r="R50">
        <f t="shared" ca="1" si="30"/>
        <v>208.36160854473152</v>
      </c>
      <c r="S50">
        <f t="shared" ca="1" si="30"/>
        <v>198.94013827275822</v>
      </c>
      <c r="T50">
        <f t="shared" ca="1" si="30"/>
        <v>189.94936133953317</v>
      </c>
      <c r="U50">
        <f t="shared" ca="1" si="30"/>
        <v>181.36971741811871</v>
      </c>
      <c r="V50">
        <f t="shared" ca="1" si="30"/>
        <v>173.18232100280028</v>
      </c>
      <c r="W50">
        <f ca="1">W47*W45^W48*VINMAX</f>
        <v>165.3688919822925</v>
      </c>
      <c r="X50">
        <f t="shared" ca="1" si="30"/>
        <v>157.91171746969064</v>
      </c>
    </row>
    <row r="51" spans="4:25">
      <c r="D51" s="25" t="s">
        <v>389</v>
      </c>
      <c r="E51">
        <f ca="1">E50*($J$18-$E$19)/($J$18 - 25)</f>
        <v>522.88396820123808</v>
      </c>
      <c r="F51">
        <f t="shared" ref="F51:X51" ca="1" si="31">F50*($J$18-$E$19)/($J$18 - 25)</f>
        <v>442.40559650024943</v>
      </c>
      <c r="G51">
        <f t="shared" ca="1" si="31"/>
        <v>385.65384358007231</v>
      </c>
      <c r="H51">
        <f t="shared" ca="1" si="31"/>
        <v>336.18464666659236</v>
      </c>
      <c r="I51">
        <f t="shared" ca="1" si="31"/>
        <v>293.06373074914069</v>
      </c>
      <c r="J51">
        <f t="shared" ca="1" si="31"/>
        <v>255.47669498610645</v>
      </c>
      <c r="K51">
        <f t="shared" ca="1" si="31"/>
        <v>222.71362981244513</v>
      </c>
      <c r="L51">
        <f t="shared" ca="1" si="31"/>
        <v>194.15570642669857</v>
      </c>
      <c r="M51">
        <f t="shared" ca="1" si="31"/>
        <v>169.26348519861068</v>
      </c>
      <c r="N51">
        <f t="shared" ca="1" si="31"/>
        <v>147.56672202122544</v>
      </c>
      <c r="O51">
        <f t="shared" ca="1" si="31"/>
        <v>130.2432538877415</v>
      </c>
      <c r="P51">
        <f t="shared" ca="1" si="31"/>
        <v>124.34684966782591</v>
      </c>
      <c r="Q51">
        <f t="shared" ca="1" si="31"/>
        <v>118.71934696253911</v>
      </c>
      <c r="R51">
        <f t="shared" ca="1" si="31"/>
        <v>113.34871504833393</v>
      </c>
      <c r="S51">
        <f t="shared" ca="1" si="31"/>
        <v>108.22343522038047</v>
      </c>
      <c r="T51">
        <f t="shared" ca="1" si="31"/>
        <v>103.33245256870605</v>
      </c>
      <c r="U51">
        <f t="shared" ca="1" si="31"/>
        <v>98.665126275456572</v>
      </c>
      <c r="V51">
        <f t="shared" ca="1" si="31"/>
        <v>94.21118262552335</v>
      </c>
      <c r="W51">
        <f t="shared" ca="1" si="31"/>
        <v>89.960677238367111</v>
      </c>
      <c r="X51">
        <f t="shared" ca="1" si="31"/>
        <v>85.903974303511703</v>
      </c>
    </row>
    <row r="52" spans="4:25">
      <c r="D52" s="25" t="s">
        <v>391</v>
      </c>
      <c r="E52">
        <f ca="1">E51/E44</f>
        <v>0.656559477902107</v>
      </c>
      <c r="F52">
        <f ca="1">F51/F44</f>
        <v>0.70679735695812773</v>
      </c>
      <c r="G52">
        <f ca="1">G51/G44</f>
        <v>0.78360753079163614</v>
      </c>
      <c r="H52">
        <f t="shared" ref="H52:J52" ca="1" si="32">H51/H44</f>
        <v>0.86831706554799848</v>
      </c>
      <c r="I52">
        <f t="shared" ca="1" si="32"/>
        <v>0.96155491998930875</v>
      </c>
      <c r="J52">
        <f t="shared" ca="1" si="32"/>
        <v>1.0639230849683456</v>
      </c>
      <c r="K52">
        <f ca="1">K51/K44</f>
        <v>1.1759577629349882</v>
      </c>
      <c r="L52">
        <f t="shared" ref="L52" ca="1" si="33">L51/L44</f>
        <v>1.2980745900208202</v>
      </c>
      <c r="M52">
        <f t="shared" ref="M52:N52" ca="1" si="34">M51/M44</f>
        <v>1.4304935942244468</v>
      </c>
      <c r="N52">
        <f t="shared" ca="1" si="34"/>
        <v>1.5731395605726839</v>
      </c>
      <c r="O52">
        <f t="shared" ref="O52" ca="1" si="35">O51/O44</f>
        <v>1.7468095333968716</v>
      </c>
      <c r="P52">
        <f t="shared" ref="P52" ca="1" si="36">P51/P44</f>
        <v>2.0912946089457414</v>
      </c>
      <c r="Q52">
        <f t="shared" ref="Q52:R52" ca="1" si="37">Q51/Q44</f>
        <v>2.4936685486131429</v>
      </c>
      <c r="R52">
        <f t="shared" ca="1" si="37"/>
        <v>2.9588666474789229</v>
      </c>
      <c r="S52">
        <f t="shared" ref="S52" ca="1" si="38">S51/S44</f>
        <v>3.489979681651342</v>
      </c>
      <c r="T52">
        <f t="shared" ref="T52:U52" ca="1" si="39">T51/T44</f>
        <v>4.0871500720029914</v>
      </c>
      <c r="U52">
        <f t="shared" ca="1" si="39"/>
        <v>4.7463512655429412</v>
      </c>
      <c r="V52">
        <f t="shared" ref="V52" ca="1" si="40">V51/V44</f>
        <v>5.4582549757526913</v>
      </c>
      <c r="W52">
        <f t="shared" ref="W52" ca="1" si="41">W51/W44</f>
        <v>6.2074990619991421</v>
      </c>
      <c r="X52">
        <f t="shared" ref="X52" ca="1" si="42">X51/X44</f>
        <v>6.972725186973352</v>
      </c>
    </row>
    <row r="54" spans="4:25">
      <c r="D54" s="25" t="s">
        <v>395</v>
      </c>
      <c r="E54" t="str">
        <f ca="1">IF(E52&gt;$E$20, "Y", "N")</f>
        <v>N</v>
      </c>
      <c r="F54" t="str">
        <f t="shared" ref="F54:X54" ca="1" si="43">IF(F52&gt;$E$20, "Y", "N")</f>
        <v>N</v>
      </c>
      <c r="G54" t="str">
        <f t="shared" ca="1" si="43"/>
        <v>N</v>
      </c>
      <c r="H54" t="str">
        <f t="shared" ca="1" si="43"/>
        <v>N</v>
      </c>
      <c r="I54" t="str">
        <f t="shared" ca="1" si="43"/>
        <v>N</v>
      </c>
      <c r="J54" t="str">
        <f t="shared" ca="1" si="43"/>
        <v>N</v>
      </c>
      <c r="K54" t="str">
        <f t="shared" ca="1" si="43"/>
        <v>N</v>
      </c>
      <c r="L54" t="str">
        <f t="shared" ca="1" si="43"/>
        <v>N</v>
      </c>
      <c r="M54" t="str">
        <f t="shared" ca="1" si="43"/>
        <v>N</v>
      </c>
      <c r="N54" t="str">
        <f t="shared" ca="1" si="43"/>
        <v>Y</v>
      </c>
      <c r="O54" t="str">
        <f t="shared" ca="1" si="43"/>
        <v>Y</v>
      </c>
      <c r="P54" t="str">
        <f t="shared" ca="1" si="43"/>
        <v>Y</v>
      </c>
      <c r="Q54" t="str">
        <f t="shared" ca="1" si="43"/>
        <v>Y</v>
      </c>
      <c r="R54" t="str">
        <f t="shared" ca="1" si="43"/>
        <v>Y</v>
      </c>
      <c r="S54" t="str">
        <f t="shared" ca="1" si="43"/>
        <v>Y</v>
      </c>
      <c r="T54" t="str">
        <f t="shared" ca="1" si="43"/>
        <v>Y</v>
      </c>
      <c r="U54" t="str">
        <f t="shared" ca="1" si="43"/>
        <v>Y</v>
      </c>
      <c r="V54" t="str">
        <f t="shared" ca="1" si="43"/>
        <v>Y</v>
      </c>
      <c r="W54" t="str">
        <f t="shared" ca="1" si="43"/>
        <v>Y</v>
      </c>
      <c r="X54" t="str">
        <f t="shared" ca="1" si="43"/>
        <v>Y</v>
      </c>
      <c r="Y54" t="s">
        <v>398</v>
      </c>
    </row>
    <row r="55" spans="4:25">
      <c r="D55" s="25" t="s">
        <v>396</v>
      </c>
      <c r="E55">
        <f ca="1">IF(E54="Y", 1, 0)</f>
        <v>0</v>
      </c>
      <c r="F55">
        <f ca="1">IF(AND(F54="Y", E54="N"),  1, 0)</f>
        <v>0</v>
      </c>
      <c r="G55">
        <f t="shared" ref="G55:X55" ca="1" si="44">IF(AND(G54="Y", F54="N"),  1, 0)</f>
        <v>0</v>
      </c>
      <c r="H55">
        <f t="shared" ca="1" si="44"/>
        <v>0</v>
      </c>
      <c r="I55">
        <f t="shared" ca="1" si="44"/>
        <v>0</v>
      </c>
      <c r="J55">
        <f t="shared" ca="1" si="44"/>
        <v>0</v>
      </c>
      <c r="K55">
        <f t="shared" ca="1" si="44"/>
        <v>0</v>
      </c>
      <c r="L55">
        <f t="shared" ca="1" si="44"/>
        <v>0</v>
      </c>
      <c r="M55">
        <f t="shared" ca="1" si="44"/>
        <v>0</v>
      </c>
      <c r="N55">
        <f t="shared" ca="1" si="44"/>
        <v>1</v>
      </c>
      <c r="O55">
        <f t="shared" ca="1" si="44"/>
        <v>0</v>
      </c>
      <c r="P55">
        <f t="shared" ca="1" si="44"/>
        <v>0</v>
      </c>
      <c r="Q55">
        <f t="shared" ca="1" si="44"/>
        <v>0</v>
      </c>
      <c r="R55">
        <f t="shared" ca="1" si="44"/>
        <v>0</v>
      </c>
      <c r="S55">
        <f t="shared" ca="1" si="44"/>
        <v>0</v>
      </c>
      <c r="T55">
        <f t="shared" ca="1" si="44"/>
        <v>0</v>
      </c>
      <c r="U55">
        <f t="shared" ca="1" si="44"/>
        <v>0</v>
      </c>
      <c r="V55">
        <f t="shared" ca="1" si="44"/>
        <v>0</v>
      </c>
      <c r="W55">
        <f t="shared" ca="1" si="44"/>
        <v>0</v>
      </c>
      <c r="X55">
        <f t="shared" ca="1" si="44"/>
        <v>0</v>
      </c>
    </row>
    <row r="56" spans="4:25">
      <c r="D56" s="25" t="s">
        <v>397</v>
      </c>
      <c r="E56">
        <v>0</v>
      </c>
      <c r="F56">
        <f ca="1">IF(AND(F54="Y", G54="N"),  1, 0)</f>
        <v>0</v>
      </c>
      <c r="G56">
        <f t="shared" ref="G56:X56" ca="1" si="45">IF(AND(G54="Y", H54="N"),  1, 0)</f>
        <v>0</v>
      </c>
      <c r="H56">
        <f t="shared" ca="1" si="45"/>
        <v>0</v>
      </c>
      <c r="I56">
        <f t="shared" ca="1" si="45"/>
        <v>0</v>
      </c>
      <c r="J56">
        <f t="shared" ca="1" si="45"/>
        <v>0</v>
      </c>
      <c r="K56">
        <f t="shared" ca="1" si="45"/>
        <v>0</v>
      </c>
      <c r="L56">
        <f t="shared" ca="1" si="45"/>
        <v>0</v>
      </c>
      <c r="M56">
        <f t="shared" ca="1" si="45"/>
        <v>0</v>
      </c>
      <c r="N56">
        <f t="shared" ca="1" si="45"/>
        <v>0</v>
      </c>
      <c r="O56">
        <f t="shared" ca="1" si="45"/>
        <v>0</v>
      </c>
      <c r="P56">
        <f t="shared" ca="1" si="45"/>
        <v>0</v>
      </c>
      <c r="Q56">
        <f t="shared" ca="1" si="45"/>
        <v>0</v>
      </c>
      <c r="R56">
        <f t="shared" ca="1" si="45"/>
        <v>0</v>
      </c>
      <c r="S56">
        <f t="shared" ca="1" si="45"/>
        <v>0</v>
      </c>
      <c r="T56">
        <f t="shared" ca="1" si="45"/>
        <v>0</v>
      </c>
      <c r="U56">
        <f t="shared" ca="1" si="45"/>
        <v>0</v>
      </c>
      <c r="V56">
        <f t="shared" ca="1" si="45"/>
        <v>0</v>
      </c>
      <c r="W56">
        <f t="shared" ca="1" si="45"/>
        <v>0</v>
      </c>
      <c r="X56">
        <f t="shared" ca="1" si="45"/>
        <v>1</v>
      </c>
    </row>
    <row r="58" spans="4:25">
      <c r="D58" t="s">
        <v>399</v>
      </c>
      <c r="E58">
        <f ca="1">E55*E35</f>
        <v>0</v>
      </c>
      <c r="F58">
        <f t="shared" ref="F58:X58" ca="1" si="46">F55*F35</f>
        <v>0</v>
      </c>
      <c r="G58">
        <f t="shared" ca="1" si="46"/>
        <v>0</v>
      </c>
      <c r="H58">
        <f t="shared" ca="1" si="46"/>
        <v>0</v>
      </c>
      <c r="I58">
        <f t="shared" ca="1" si="46"/>
        <v>0</v>
      </c>
      <c r="J58">
        <f t="shared" ca="1" si="46"/>
        <v>0</v>
      </c>
      <c r="K58">
        <f t="shared" ca="1" si="46"/>
        <v>0</v>
      </c>
      <c r="L58">
        <f t="shared" ca="1" si="46"/>
        <v>0</v>
      </c>
      <c r="M58">
        <f t="shared" ca="1" si="46"/>
        <v>0</v>
      </c>
      <c r="N58">
        <f t="shared" ca="1" si="46"/>
        <v>1.354605470021627</v>
      </c>
      <c r="O58">
        <f t="shared" ca="1" si="46"/>
        <v>0</v>
      </c>
      <c r="P58">
        <f t="shared" ca="1" si="46"/>
        <v>0</v>
      </c>
      <c r="Q58">
        <f t="shared" ca="1" si="46"/>
        <v>0</v>
      </c>
      <c r="R58">
        <f t="shared" ca="1" si="46"/>
        <v>0</v>
      </c>
      <c r="S58">
        <f t="shared" ca="1" si="46"/>
        <v>0</v>
      </c>
      <c r="T58">
        <f t="shared" ca="1" si="46"/>
        <v>0</v>
      </c>
      <c r="U58">
        <f t="shared" ca="1" si="46"/>
        <v>0</v>
      </c>
      <c r="V58">
        <f t="shared" ca="1" si="46"/>
        <v>0</v>
      </c>
      <c r="W58">
        <f t="shared" ca="1" si="46"/>
        <v>0</v>
      </c>
      <c r="X58">
        <f t="shared" ca="1" si="46"/>
        <v>0</v>
      </c>
    </row>
    <row r="59" spans="4:25">
      <c r="D59" t="s">
        <v>400</v>
      </c>
      <c r="E59">
        <f>E35*E56</f>
        <v>0</v>
      </c>
      <c r="F59">
        <f t="shared" ref="F59:X59" ca="1" si="47">F35*F56</f>
        <v>0</v>
      </c>
      <c r="G59">
        <f t="shared" ca="1" si="47"/>
        <v>0</v>
      </c>
      <c r="H59">
        <f t="shared" ca="1" si="47"/>
        <v>0</v>
      </c>
      <c r="I59">
        <f t="shared" ca="1" si="47"/>
        <v>0</v>
      </c>
      <c r="J59">
        <f t="shared" ca="1" si="47"/>
        <v>0</v>
      </c>
      <c r="K59">
        <f t="shared" ca="1" si="47"/>
        <v>0</v>
      </c>
      <c r="L59">
        <f t="shared" ca="1" si="47"/>
        <v>0</v>
      </c>
      <c r="M59">
        <f t="shared" ca="1" si="47"/>
        <v>0</v>
      </c>
      <c r="N59">
        <f t="shared" ca="1" si="47"/>
        <v>0</v>
      </c>
      <c r="O59">
        <f t="shared" ca="1" si="47"/>
        <v>0</v>
      </c>
      <c r="P59">
        <f t="shared" ca="1" si="47"/>
        <v>0</v>
      </c>
      <c r="Q59">
        <f t="shared" ca="1" si="47"/>
        <v>0</v>
      </c>
      <c r="R59">
        <f t="shared" ca="1" si="47"/>
        <v>0</v>
      </c>
      <c r="S59">
        <f t="shared" ca="1" si="47"/>
        <v>0</v>
      </c>
      <c r="T59">
        <f t="shared" ca="1" si="47"/>
        <v>0</v>
      </c>
      <c r="U59">
        <f t="shared" ca="1" si="47"/>
        <v>0</v>
      </c>
      <c r="V59">
        <f t="shared" ca="1" si="47"/>
        <v>0</v>
      </c>
      <c r="W59">
        <f t="shared" ca="1" si="47"/>
        <v>0</v>
      </c>
      <c r="X59">
        <f t="shared" ca="1" si="47"/>
        <v>0.12</v>
      </c>
    </row>
    <row r="62" spans="4:25" ht="31">
      <c r="D62" s="239" t="s">
        <v>592</v>
      </c>
    </row>
    <row r="63" spans="4:25" ht="15">
      <c r="D63" s="69" t="s">
        <v>392</v>
      </c>
      <c r="I63" s="26" t="s">
        <v>457</v>
      </c>
      <c r="J63">
        <f ca="1">'Design Calculator'!G56</f>
        <v>175</v>
      </c>
      <c r="K63" s="25" t="s">
        <v>615</v>
      </c>
    </row>
    <row r="64" spans="4:25">
      <c r="D64" s="25" t="s">
        <v>390</v>
      </c>
      <c r="E64">
        <f ca="1">SOA!H76</f>
        <v>94.372</v>
      </c>
    </row>
    <row r="65" spans="4:24">
      <c r="D65" s="25" t="s">
        <v>375</v>
      </c>
      <c r="E65">
        <v>1.5</v>
      </c>
      <c r="I65" s="65" t="s">
        <v>384</v>
      </c>
      <c r="K65" s="16"/>
      <c r="L65" s="16"/>
      <c r="M65" s="16"/>
    </row>
    <row r="66" spans="4:24">
      <c r="D66" s="25" t="s">
        <v>367</v>
      </c>
      <c r="E66">
        <f>1/2*COUTMAX*VINMAX^2*0.000001</f>
        <v>0.72599999999999998</v>
      </c>
      <c r="J66" s="69" t="s">
        <v>594</v>
      </c>
      <c r="K66" s="163" t="s">
        <v>595</v>
      </c>
      <c r="L66" s="163" t="s">
        <v>613</v>
      </c>
      <c r="M66" s="163" t="s">
        <v>614</v>
      </c>
    </row>
    <row r="67" spans="4:24">
      <c r="D67" s="25" t="s">
        <v>369</v>
      </c>
      <c r="E67">
        <f>MAX(Equations!G71-E66,0)</f>
        <v>0.44240624999999989</v>
      </c>
      <c r="I67" s="65" t="s">
        <v>386</v>
      </c>
      <c r="J67" s="65">
        <v>0.01</v>
      </c>
      <c r="K67" s="1">
        <v>0.1</v>
      </c>
      <c r="L67" s="1">
        <v>1</v>
      </c>
      <c r="M67" s="1">
        <v>10</v>
      </c>
    </row>
    <row r="68" spans="4:24">
      <c r="D68" s="25" t="s">
        <v>370</v>
      </c>
      <c r="E68">
        <f>Equations!G70</f>
        <v>206.25</v>
      </c>
      <c r="I68" s="65" t="s">
        <v>387</v>
      </c>
      <c r="J68" s="1">
        <v>0.1</v>
      </c>
      <c r="K68" s="1">
        <v>1</v>
      </c>
      <c r="L68" s="1">
        <v>10</v>
      </c>
      <c r="M68" s="1">
        <v>100</v>
      </c>
    </row>
    <row r="69" spans="4:24">
      <c r="I69" s="65" t="s">
        <v>174</v>
      </c>
      <c r="J69" s="1">
        <f ca="1">SOA!C84</f>
        <v>133.52024929040701</v>
      </c>
      <c r="K69" s="1">
        <f ca="1">SOA!D84</f>
        <v>23.095628457895074</v>
      </c>
      <c r="L69" s="1">
        <f ca="1">SOA!E84</f>
        <v>23.095628457895071</v>
      </c>
      <c r="M69" s="1">
        <f ca="1">SOA!F84</f>
        <v>19.497114026707433</v>
      </c>
    </row>
    <row r="70" spans="4:24">
      <c r="D70" t="s">
        <v>180</v>
      </c>
      <c r="E70">
        <f>'Design Calculator'!F27</f>
        <v>0</v>
      </c>
      <c r="I70" s="65" t="s">
        <v>175</v>
      </c>
      <c r="J70" s="16">
        <f ca="1">SOA!C85</f>
        <v>-0.23825642840093292</v>
      </c>
      <c r="K70" s="16">
        <f ca="1">SOA!D85</f>
        <v>-1.0002737785448337</v>
      </c>
      <c r="L70" s="16">
        <f ca="1">SOA!E85</f>
        <v>-0.45489768687699278</v>
      </c>
      <c r="M70" s="16">
        <f ca="1">SOA!F85</f>
        <v>-0.38133823411203377</v>
      </c>
    </row>
    <row r="71" spans="4:24">
      <c r="D71" t="s">
        <v>129</v>
      </c>
      <c r="E71" t="str">
        <f>'Design Calculator'!F28</f>
        <v>Constant Current</v>
      </c>
    </row>
    <row r="72" spans="4:24">
      <c r="D72" t="s">
        <v>130</v>
      </c>
      <c r="E72">
        <f>'Design Calculator'!F29</f>
        <v>0.2</v>
      </c>
      <c r="I72" s="135" t="s">
        <v>403</v>
      </c>
      <c r="J72" s="69" t="s">
        <v>142</v>
      </c>
    </row>
    <row r="73" spans="4:24">
      <c r="G73" t="s">
        <v>401</v>
      </c>
      <c r="I73" s="3">
        <f ca="1">SUM(E103:X103)</f>
        <v>0.65467137374022233</v>
      </c>
      <c r="J73" s="3">
        <f ca="1">IF(I73=0, "NA", I73/AVERAGE(1, E77))</f>
        <v>0.73362399943483958</v>
      </c>
    </row>
    <row r="74" spans="4:24">
      <c r="D74" s="25" t="s">
        <v>420</v>
      </c>
      <c r="E74">
        <f>12/1</f>
        <v>12</v>
      </c>
      <c r="G74" t="s">
        <v>402</v>
      </c>
      <c r="I74" s="3">
        <f ca="1">SUM(E104:X104)</f>
        <v>0.12</v>
      </c>
      <c r="J74" s="3">
        <f ca="1">IF(I74=0, "NA", I74*AVERAGE(1,E77))</f>
        <v>0.10708559822108767</v>
      </c>
    </row>
    <row r="75" spans="4:24">
      <c r="D75" s="25" t="s">
        <v>421</v>
      </c>
      <c r="E75">
        <v>0.12</v>
      </c>
    </row>
    <row r="76" spans="4:24">
      <c r="D76" s="25" t="s">
        <v>393</v>
      </c>
      <c r="E76">
        <v>20</v>
      </c>
    </row>
    <row r="77" spans="4:24">
      <c r="D77" s="25" t="s">
        <v>394</v>
      </c>
      <c r="E77">
        <f>(E75/E74)^(1/(E76-1))</f>
        <v>0.78475997035146128</v>
      </c>
    </row>
    <row r="78" spans="4:24">
      <c r="D78" s="25"/>
    </row>
    <row r="79" spans="4:24">
      <c r="E79">
        <v>1</v>
      </c>
      <c r="F79">
        <v>2</v>
      </c>
      <c r="G79">
        <v>3</v>
      </c>
      <c r="H79">
        <v>4</v>
      </c>
      <c r="I79">
        <v>5</v>
      </c>
      <c r="J79">
        <v>6</v>
      </c>
      <c r="K79">
        <v>7</v>
      </c>
      <c r="L79">
        <v>8</v>
      </c>
      <c r="M79">
        <v>9</v>
      </c>
      <c r="N79">
        <v>10</v>
      </c>
      <c r="O79">
        <v>11</v>
      </c>
      <c r="P79">
        <v>12</v>
      </c>
      <c r="Q79">
        <v>13</v>
      </c>
      <c r="R79">
        <v>14</v>
      </c>
      <c r="S79">
        <v>15</v>
      </c>
      <c r="T79">
        <v>16</v>
      </c>
      <c r="U79">
        <v>17</v>
      </c>
      <c r="V79">
        <v>18</v>
      </c>
      <c r="W79">
        <v>19</v>
      </c>
      <c r="X79">
        <v>20</v>
      </c>
    </row>
    <row r="80" spans="4:24">
      <c r="D80" s="162" t="s">
        <v>368</v>
      </c>
      <c r="E80" s="162">
        <f>E74</f>
        <v>12</v>
      </c>
      <c r="F80" s="162">
        <f>E80*$E$32</f>
        <v>9.4171196442175358</v>
      </c>
      <c r="G80" s="162">
        <f t="shared" ref="G80" si="48">F80*$E$32</f>
        <v>7.3901785327923166</v>
      </c>
      <c r="H80" s="162">
        <f t="shared" ref="H80" si="49">G80*$E$32</f>
        <v>5.7995162862861038</v>
      </c>
      <c r="I80" s="162">
        <f t="shared" ref="I80" si="50">H80*$E$32</f>
        <v>4.5512282288787</v>
      </c>
      <c r="J80" s="162">
        <f t="shared" ref="J80" si="51">I80*$E$32</f>
        <v>3.5716217299575823</v>
      </c>
      <c r="K80" s="162">
        <f t="shared" ref="K80" si="52">J80*$E$32</f>
        <v>2.802865762908147</v>
      </c>
      <c r="L80" s="162">
        <f t="shared" ref="L80" si="53">K80*$E$32</f>
        <v>2.1995768529989235</v>
      </c>
      <c r="M80" s="162">
        <f t="shared" ref="M80" si="54">L80*$E$32</f>
        <v>1.7261398659451956</v>
      </c>
      <c r="N80" s="162">
        <f t="shared" ref="N80" si="55">M80*$E$32</f>
        <v>1.354605470021627</v>
      </c>
      <c r="O80" s="162">
        <f t="shared" ref="O80" si="56">N80*$E$32</f>
        <v>1.0630401484920993</v>
      </c>
      <c r="P80" s="162">
        <f t="shared" ref="P80" si="57">O80*$E$32</f>
        <v>0.83423135541307281</v>
      </c>
      <c r="Q80" s="162">
        <f t="shared" ref="Q80" si="58">P80*$E$32</f>
        <v>0.65467137374022233</v>
      </c>
      <c r="R80" s="162">
        <f t="shared" ref="R80" si="59">Q80*$E$32</f>
        <v>0.51375988784632731</v>
      </c>
      <c r="S80" s="162">
        <f t="shared" ref="S80" si="60">R80*$E$32</f>
        <v>0.40317819435405389</v>
      </c>
      <c r="T80" s="162">
        <f t="shared" ref="T80" si="61">S80*$E$32</f>
        <v>0.316398107847643</v>
      </c>
      <c r="U80" s="162">
        <f t="shared" ref="U80" si="62">T80*$E$32</f>
        <v>0.24829656973377476</v>
      </c>
      <c r="V80" s="162">
        <f t="shared" ref="V80" si="63">U80*$E$32</f>
        <v>0.19485320870264661</v>
      </c>
      <c r="W80" s="162">
        <f t="shared" ref="W80" si="64">V80*$E$32</f>
        <v>0.15291299828437604</v>
      </c>
      <c r="X80" s="162">
        <f t="shared" ref="X80" si="65">W80*$E$32</f>
        <v>0.12</v>
      </c>
    </row>
    <row r="81" spans="4:24">
      <c r="D81" s="25" t="s">
        <v>371</v>
      </c>
      <c r="E81">
        <f t="shared" ref="E81:X81" si="66">VINMAX/E80</f>
        <v>1.8333333333333333</v>
      </c>
      <c r="F81">
        <f t="shared" si="66"/>
        <v>2.3361708071224117</v>
      </c>
      <c r="G81">
        <f t="shared" si="66"/>
        <v>2.9769240218459898</v>
      </c>
      <c r="H81">
        <f t="shared" si="66"/>
        <v>3.7934198153771144</v>
      </c>
      <c r="I81">
        <f t="shared" si="66"/>
        <v>4.8338599810056566</v>
      </c>
      <c r="J81">
        <f t="shared" si="66"/>
        <v>6.1596668581869327</v>
      </c>
      <c r="K81">
        <f t="shared" si="66"/>
        <v>7.8491093976522217</v>
      </c>
      <c r="L81">
        <f t="shared" si="66"/>
        <v>10.001923765475617</v>
      </c>
      <c r="M81">
        <f t="shared" si="66"/>
        <v>12.745201263255275</v>
      </c>
      <c r="N81">
        <f t="shared" si="66"/>
        <v>16.240891157518181</v>
      </c>
      <c r="O81">
        <f t="shared" si="66"/>
        <v>20.69536134755263</v>
      </c>
      <c r="P81">
        <f t="shared" si="66"/>
        <v>26.371581285273816</v>
      </c>
      <c r="Q81">
        <f t="shared" si="66"/>
        <v>33.604646365261324</v>
      </c>
      <c r="R81">
        <f t="shared" si="66"/>
        <v>42.821560266652241</v>
      </c>
      <c r="S81">
        <f t="shared" si="66"/>
        <v>54.566443096574162</v>
      </c>
      <c r="T81">
        <f t="shared" si="66"/>
        <v>69.532653496757916</v>
      </c>
      <c r="U81">
        <f t="shared" si="66"/>
        <v>88.603721040482142</v>
      </c>
      <c r="V81">
        <f t="shared" si="66"/>
        <v>112.90550536210483</v>
      </c>
      <c r="W81">
        <f t="shared" si="66"/>
        <v>143.87266123110123</v>
      </c>
      <c r="X81">
        <f t="shared" si="66"/>
        <v>183.33333333333334</v>
      </c>
    </row>
    <row r="82" spans="4:24">
      <c r="D82" s="25" t="s">
        <v>372</v>
      </c>
      <c r="E82">
        <f t="shared" ref="E82:X82" si="67">E80*COUTMAX/1000</f>
        <v>36</v>
      </c>
      <c r="F82">
        <f t="shared" si="67"/>
        <v>28.251358932652607</v>
      </c>
      <c r="G82">
        <f t="shared" si="67"/>
        <v>22.170535598376951</v>
      </c>
      <c r="H82">
        <f t="shared" si="67"/>
        <v>17.398548858858309</v>
      </c>
      <c r="I82">
        <f t="shared" si="67"/>
        <v>13.653684686636099</v>
      </c>
      <c r="J82">
        <f t="shared" si="67"/>
        <v>10.714865189872748</v>
      </c>
      <c r="K82">
        <f t="shared" si="67"/>
        <v>8.4085972887244402</v>
      </c>
      <c r="L82">
        <f t="shared" si="67"/>
        <v>6.5987305589967704</v>
      </c>
      <c r="M82">
        <f t="shared" si="67"/>
        <v>5.1784195978355863</v>
      </c>
      <c r="N82">
        <f t="shared" si="67"/>
        <v>4.0638164100648808</v>
      </c>
      <c r="O82">
        <f t="shared" si="67"/>
        <v>3.189120445476298</v>
      </c>
      <c r="P82">
        <f t="shared" si="67"/>
        <v>2.5026940662392185</v>
      </c>
      <c r="Q82">
        <f t="shared" si="67"/>
        <v>1.964014121220667</v>
      </c>
      <c r="R82">
        <f t="shared" si="67"/>
        <v>1.541279663538982</v>
      </c>
      <c r="S82">
        <f t="shared" si="67"/>
        <v>1.2095345830621616</v>
      </c>
      <c r="T82">
        <f t="shared" si="67"/>
        <v>0.94919432354292899</v>
      </c>
      <c r="U82">
        <f t="shared" si="67"/>
        <v>0.74488970920132436</v>
      </c>
      <c r="V82">
        <f t="shared" si="67"/>
        <v>0.58455962610793988</v>
      </c>
      <c r="W82">
        <f t="shared" si="67"/>
        <v>0.45873899485312813</v>
      </c>
      <c r="X82">
        <f t="shared" si="67"/>
        <v>0.36</v>
      </c>
    </row>
    <row r="83" spans="4:24">
      <c r="D83" s="25" t="s">
        <v>373</v>
      </c>
      <c r="E83">
        <f>$E$66+$E$67*E81/$E$68</f>
        <v>0.72993249999999998</v>
      </c>
      <c r="F83">
        <f t="shared" ref="F83:X83" si="68">$E$66+$E$67*F81/$E$68</f>
        <v>0.73101108638127754</v>
      </c>
      <c r="G83">
        <f t="shared" si="68"/>
        <v>0.73238550202685959</v>
      </c>
      <c r="H83">
        <f t="shared" si="68"/>
        <v>0.73413688550398393</v>
      </c>
      <c r="I83">
        <f t="shared" si="68"/>
        <v>0.73636862965925709</v>
      </c>
      <c r="J83">
        <f t="shared" si="68"/>
        <v>0.73921248541081097</v>
      </c>
      <c r="K83">
        <f t="shared" si="68"/>
        <v>0.74283633965796403</v>
      </c>
      <c r="L83">
        <f t="shared" si="68"/>
        <v>0.7474541264769452</v>
      </c>
      <c r="M83">
        <f t="shared" si="68"/>
        <v>0.75333845670968258</v>
      </c>
      <c r="N83">
        <f t="shared" si="68"/>
        <v>0.76083671153287646</v>
      </c>
      <c r="O83">
        <f t="shared" si="68"/>
        <v>0.77039155009050031</v>
      </c>
      <c r="P83">
        <f t="shared" si="68"/>
        <v>0.78256704185691228</v>
      </c>
      <c r="Q83">
        <f t="shared" si="68"/>
        <v>0.7980819664534855</v>
      </c>
      <c r="R83">
        <f t="shared" si="68"/>
        <v>0.81785224677196899</v>
      </c>
      <c r="S83">
        <f t="shared" si="68"/>
        <v>0.84304502044215157</v>
      </c>
      <c r="T83">
        <f t="shared" si="68"/>
        <v>0.87514754175054565</v>
      </c>
      <c r="U83">
        <f t="shared" si="68"/>
        <v>0.91605498163183419</v>
      </c>
      <c r="V83">
        <f t="shared" si="68"/>
        <v>0.96818230900171476</v>
      </c>
      <c r="W83">
        <f t="shared" si="68"/>
        <v>1.034606858340712</v>
      </c>
      <c r="X83">
        <f t="shared" si="68"/>
        <v>1.1192499999999999</v>
      </c>
    </row>
    <row r="84" spans="4:24">
      <c r="D84" s="25" t="s">
        <v>376</v>
      </c>
      <c r="E84">
        <f t="shared" ref="E84:X84" si="69">(E82+IF($E$71="Resistive",0,IF($E$70=0,$E$72,0)))*VINMAX</f>
        <v>796.40000000000009</v>
      </c>
      <c r="F84">
        <f t="shared" si="69"/>
        <v>625.9298965183574</v>
      </c>
      <c r="G84">
        <f t="shared" si="69"/>
        <v>492.15178316429291</v>
      </c>
      <c r="H84">
        <f t="shared" si="69"/>
        <v>387.16807489488281</v>
      </c>
      <c r="I84">
        <f t="shared" si="69"/>
        <v>304.78106310599418</v>
      </c>
      <c r="J84">
        <f t="shared" si="69"/>
        <v>240.12703417720044</v>
      </c>
      <c r="K84">
        <f t="shared" si="69"/>
        <v>189.38914035193767</v>
      </c>
      <c r="L84">
        <f t="shared" si="69"/>
        <v>149.57207229792894</v>
      </c>
      <c r="M84">
        <f t="shared" si="69"/>
        <v>118.3252311523829</v>
      </c>
      <c r="N84">
        <f t="shared" si="69"/>
        <v>93.803961021427384</v>
      </c>
      <c r="O84">
        <f t="shared" si="69"/>
        <v>74.560649800478558</v>
      </c>
      <c r="P84">
        <f t="shared" si="69"/>
        <v>59.459269457262813</v>
      </c>
      <c r="Q84">
        <f t="shared" si="69"/>
        <v>47.608310666854678</v>
      </c>
      <c r="R84">
        <f t="shared" si="69"/>
        <v>38.308152597857607</v>
      </c>
      <c r="S84">
        <f t="shared" si="69"/>
        <v>31.009760827367554</v>
      </c>
      <c r="T84">
        <f t="shared" si="69"/>
        <v>25.282275117944437</v>
      </c>
      <c r="U84">
        <f t="shared" si="69"/>
        <v>20.787573602429138</v>
      </c>
      <c r="V84">
        <f t="shared" si="69"/>
        <v>17.260311774374678</v>
      </c>
      <c r="W84">
        <f t="shared" si="69"/>
        <v>14.492257886768819</v>
      </c>
      <c r="X84">
        <f t="shared" si="69"/>
        <v>12.32</v>
      </c>
    </row>
    <row r="85" spans="4:24">
      <c r="D85" s="25" t="s">
        <v>374</v>
      </c>
      <c r="E85">
        <f t="shared" ref="E85:X85" si="70">(E82+IF($E$71="Resistive", $E$70/$E$72,$E$72)) *(VINMAX-$E$70)</f>
        <v>796.40000000000009</v>
      </c>
      <c r="F85">
        <f t="shared" si="70"/>
        <v>625.9298965183574</v>
      </c>
      <c r="G85">
        <f t="shared" si="70"/>
        <v>492.15178316429291</v>
      </c>
      <c r="H85">
        <f t="shared" si="70"/>
        <v>387.16807489488281</v>
      </c>
      <c r="I85">
        <f t="shared" si="70"/>
        <v>304.78106310599418</v>
      </c>
      <c r="J85">
        <f t="shared" si="70"/>
        <v>240.12703417720044</v>
      </c>
      <c r="K85">
        <f t="shared" si="70"/>
        <v>189.38914035193767</v>
      </c>
      <c r="L85">
        <f t="shared" si="70"/>
        <v>149.57207229792894</v>
      </c>
      <c r="M85">
        <f t="shared" si="70"/>
        <v>118.3252311523829</v>
      </c>
      <c r="N85">
        <f t="shared" si="70"/>
        <v>93.803961021427384</v>
      </c>
      <c r="O85">
        <f t="shared" si="70"/>
        <v>74.560649800478558</v>
      </c>
      <c r="P85">
        <f t="shared" si="70"/>
        <v>59.459269457262813</v>
      </c>
      <c r="Q85">
        <f t="shared" si="70"/>
        <v>47.608310666854678</v>
      </c>
      <c r="R85">
        <f t="shared" si="70"/>
        <v>38.308152597857607</v>
      </c>
      <c r="S85">
        <f t="shared" si="70"/>
        <v>31.009760827367554</v>
      </c>
      <c r="T85">
        <f t="shared" si="70"/>
        <v>25.282275117944437</v>
      </c>
      <c r="U85">
        <f t="shared" si="70"/>
        <v>20.787573602429138</v>
      </c>
      <c r="V85">
        <f t="shared" si="70"/>
        <v>17.260311774374678</v>
      </c>
      <c r="W85">
        <f t="shared" si="70"/>
        <v>14.492257886768819</v>
      </c>
      <c r="X85">
        <f t="shared" si="70"/>
        <v>12.32</v>
      </c>
    </row>
    <row r="86" spans="4:24">
      <c r="D86" s="25" t="s">
        <v>379</v>
      </c>
      <c r="E86">
        <f t="shared" ref="E86:X86" si="71">IF($E$71="Resistive", -$E$72*E82/2 + VINMAX/2, -1)</f>
        <v>-1</v>
      </c>
      <c r="F86">
        <f t="shared" si="71"/>
        <v>-1</v>
      </c>
      <c r="G86">
        <f t="shared" si="71"/>
        <v>-1</v>
      </c>
      <c r="H86">
        <f t="shared" si="71"/>
        <v>-1</v>
      </c>
      <c r="I86">
        <f t="shared" si="71"/>
        <v>-1</v>
      </c>
      <c r="J86">
        <f t="shared" si="71"/>
        <v>-1</v>
      </c>
      <c r="K86">
        <f t="shared" si="71"/>
        <v>-1</v>
      </c>
      <c r="L86">
        <f t="shared" si="71"/>
        <v>-1</v>
      </c>
      <c r="M86">
        <f t="shared" si="71"/>
        <v>-1</v>
      </c>
      <c r="N86">
        <f t="shared" si="71"/>
        <v>-1</v>
      </c>
      <c r="O86">
        <f t="shared" si="71"/>
        <v>-1</v>
      </c>
      <c r="P86">
        <f t="shared" si="71"/>
        <v>-1</v>
      </c>
      <c r="Q86">
        <f t="shared" si="71"/>
        <v>-1</v>
      </c>
      <c r="R86">
        <f t="shared" si="71"/>
        <v>-1</v>
      </c>
      <c r="S86">
        <f t="shared" si="71"/>
        <v>-1</v>
      </c>
      <c r="T86">
        <f t="shared" si="71"/>
        <v>-1</v>
      </c>
      <c r="U86">
        <f t="shared" si="71"/>
        <v>-1</v>
      </c>
      <c r="V86">
        <f t="shared" si="71"/>
        <v>-1</v>
      </c>
      <c r="W86">
        <f t="shared" si="71"/>
        <v>-1</v>
      </c>
      <c r="X86">
        <f t="shared" si="71"/>
        <v>-1</v>
      </c>
    </row>
    <row r="87" spans="4:24">
      <c r="D87" s="25" t="s">
        <v>381</v>
      </c>
      <c r="E87">
        <f t="shared" ref="E87:X87" si="72">IF(AND(E86&lt;VINMAX, E86&gt;$E$70), (VINMAX-E86)*(E82+E86/$E$72), 0)</f>
        <v>0</v>
      </c>
      <c r="F87">
        <f t="shared" si="72"/>
        <v>0</v>
      </c>
      <c r="G87">
        <f t="shared" si="72"/>
        <v>0</v>
      </c>
      <c r="H87">
        <f t="shared" si="72"/>
        <v>0</v>
      </c>
      <c r="I87">
        <f t="shared" si="72"/>
        <v>0</v>
      </c>
      <c r="J87">
        <f t="shared" si="72"/>
        <v>0</v>
      </c>
      <c r="K87">
        <f t="shared" si="72"/>
        <v>0</v>
      </c>
      <c r="L87">
        <f t="shared" si="72"/>
        <v>0</v>
      </c>
      <c r="M87">
        <f t="shared" si="72"/>
        <v>0</v>
      </c>
      <c r="N87">
        <f t="shared" si="72"/>
        <v>0</v>
      </c>
      <c r="O87">
        <f t="shared" si="72"/>
        <v>0</v>
      </c>
      <c r="P87">
        <f t="shared" si="72"/>
        <v>0</v>
      </c>
      <c r="Q87">
        <f t="shared" si="72"/>
        <v>0</v>
      </c>
      <c r="R87">
        <f t="shared" si="72"/>
        <v>0</v>
      </c>
      <c r="S87">
        <f t="shared" si="72"/>
        <v>0</v>
      </c>
      <c r="T87">
        <f t="shared" si="72"/>
        <v>0</v>
      </c>
      <c r="U87">
        <f t="shared" si="72"/>
        <v>0</v>
      </c>
      <c r="V87">
        <f t="shared" si="72"/>
        <v>0</v>
      </c>
      <c r="W87">
        <f t="shared" si="72"/>
        <v>0</v>
      </c>
      <c r="X87">
        <f t="shared" si="72"/>
        <v>0</v>
      </c>
    </row>
    <row r="89" spans="4:24">
      <c r="D89" s="25" t="s">
        <v>382</v>
      </c>
      <c r="E89">
        <f>MAX(E84,E85,E87)</f>
        <v>796.40000000000009</v>
      </c>
      <c r="F89">
        <f>MAX(F84,F85,F87)</f>
        <v>625.9298965183574</v>
      </c>
      <c r="G89">
        <f>MAX(G84,G85,G87)</f>
        <v>492.15178316429291</v>
      </c>
      <c r="H89">
        <f t="shared" ref="H89:J89" si="73">MAX(H84,H85,H87)</f>
        <v>387.16807489488281</v>
      </c>
      <c r="I89">
        <f t="shared" si="73"/>
        <v>304.78106310599418</v>
      </c>
      <c r="J89">
        <f t="shared" si="73"/>
        <v>240.12703417720044</v>
      </c>
      <c r="K89">
        <f>MAX(K84,K85,K87)</f>
        <v>189.38914035193767</v>
      </c>
      <c r="L89">
        <f t="shared" ref="L89:X89" si="74">MAX(L84,L85,L87)</f>
        <v>149.57207229792894</v>
      </c>
      <c r="M89">
        <f t="shared" si="74"/>
        <v>118.3252311523829</v>
      </c>
      <c r="N89">
        <f t="shared" si="74"/>
        <v>93.803961021427384</v>
      </c>
      <c r="O89">
        <f t="shared" si="74"/>
        <v>74.560649800478558</v>
      </c>
      <c r="P89">
        <f t="shared" si="74"/>
        <v>59.459269457262813</v>
      </c>
      <c r="Q89">
        <f t="shared" si="74"/>
        <v>47.608310666854678</v>
      </c>
      <c r="R89">
        <f t="shared" si="74"/>
        <v>38.308152597857607</v>
      </c>
      <c r="S89">
        <f t="shared" si="74"/>
        <v>31.009760827367554</v>
      </c>
      <c r="T89">
        <f t="shared" si="74"/>
        <v>25.282275117944437</v>
      </c>
      <c r="U89">
        <f t="shared" si="74"/>
        <v>20.787573602429138</v>
      </c>
      <c r="V89">
        <f t="shared" si="74"/>
        <v>17.260311774374678</v>
      </c>
      <c r="W89">
        <f t="shared" si="74"/>
        <v>14.492257886768819</v>
      </c>
      <c r="X89">
        <f t="shared" si="74"/>
        <v>12.32</v>
      </c>
    </row>
    <row r="90" spans="4:24">
      <c r="D90" s="25" t="s">
        <v>383</v>
      </c>
      <c r="E90">
        <f>E83/E89*1000</f>
        <v>0.9165400552486187</v>
      </c>
      <c r="F90">
        <f>F83/F89*1000</f>
        <v>1.1678801259492775</v>
      </c>
      <c r="G90">
        <f>G83/G89*1000</f>
        <v>1.4881293273347149</v>
      </c>
      <c r="H90">
        <f t="shared" ref="H90:J90" si="75">H83/H89*1000</f>
        <v>1.8961710252150932</v>
      </c>
      <c r="I90">
        <f t="shared" si="75"/>
        <v>2.4160576846704189</v>
      </c>
      <c r="J90">
        <f t="shared" si="75"/>
        <v>3.0784225855440881</v>
      </c>
      <c r="K90">
        <f>K83/K89*1000</f>
        <v>3.9222752596984582</v>
      </c>
      <c r="L90">
        <f t="shared" ref="L90:X90" si="76">L83/L89*1000</f>
        <v>4.997284018289923</v>
      </c>
      <c r="M90">
        <f t="shared" si="76"/>
        <v>6.3666764000613698</v>
      </c>
      <c r="N90">
        <f t="shared" si="76"/>
        <v>8.1109230702857058</v>
      </c>
      <c r="O90">
        <f t="shared" si="76"/>
        <v>10.332414647029481</v>
      </c>
      <c r="P90">
        <f t="shared" si="76"/>
        <v>13.161396851997877</v>
      </c>
      <c r="Q90">
        <f t="shared" si="76"/>
        <v>16.763501062622606</v>
      </c>
      <c r="R90">
        <f t="shared" si="76"/>
        <v>21.349300117847697</v>
      </c>
      <c r="S90">
        <f t="shared" si="76"/>
        <v>27.186440589961762</v>
      </c>
      <c r="T90">
        <f t="shared" si="76"/>
        <v>34.615062832276429</v>
      </c>
      <c r="U90">
        <f t="shared" si="76"/>
        <v>44.067431781686551</v>
      </c>
      <c r="V90">
        <f t="shared" si="76"/>
        <v>56.092979180081521</v>
      </c>
      <c r="W90">
        <f t="shared" si="76"/>
        <v>71.390315189277032</v>
      </c>
      <c r="X90">
        <f t="shared" si="76"/>
        <v>90.848214285714263</v>
      </c>
    </row>
    <row r="92" spans="4:24">
      <c r="D92" s="25" t="s">
        <v>174</v>
      </c>
      <c r="E92">
        <f ca="1">IF(E90&lt;$J$68,$J$69,IF(E90&lt;$K$68,$K$69,IF(E90&lt;$L$68,$L$69,$M$69)))</f>
        <v>23.095628457895074</v>
      </c>
      <c r="F92">
        <f t="shared" ref="F92:X92" ca="1" si="77">IF(F90&lt;$J$68,$J$69,IF(F90&lt;$K$68,$K$69,IF(F90&lt;$L$68,$L$69,$M$69)))</f>
        <v>23.095628457895071</v>
      </c>
      <c r="G92">
        <f t="shared" ca="1" si="77"/>
        <v>23.095628457895071</v>
      </c>
      <c r="H92">
        <f t="shared" ca="1" si="77"/>
        <v>23.095628457895071</v>
      </c>
      <c r="I92">
        <f t="shared" ca="1" si="77"/>
        <v>23.095628457895071</v>
      </c>
      <c r="J92">
        <f t="shared" ca="1" si="77"/>
        <v>23.095628457895071</v>
      </c>
      <c r="K92">
        <f t="shared" ca="1" si="77"/>
        <v>23.095628457895071</v>
      </c>
      <c r="L92">
        <f t="shared" ca="1" si="77"/>
        <v>23.095628457895071</v>
      </c>
      <c r="M92">
        <f t="shared" ca="1" si="77"/>
        <v>23.095628457895071</v>
      </c>
      <c r="N92">
        <f t="shared" ca="1" si="77"/>
        <v>23.095628457895071</v>
      </c>
      <c r="O92">
        <f t="shared" ca="1" si="77"/>
        <v>19.497114026707433</v>
      </c>
      <c r="P92">
        <f t="shared" ca="1" si="77"/>
        <v>19.497114026707433</v>
      </c>
      <c r="Q92">
        <f t="shared" ca="1" si="77"/>
        <v>19.497114026707433</v>
      </c>
      <c r="R92">
        <f t="shared" ca="1" si="77"/>
        <v>19.497114026707433</v>
      </c>
      <c r="S92">
        <f t="shared" ca="1" si="77"/>
        <v>19.497114026707433</v>
      </c>
      <c r="T92">
        <f t="shared" ca="1" si="77"/>
        <v>19.497114026707433</v>
      </c>
      <c r="U92">
        <f t="shared" ca="1" si="77"/>
        <v>19.497114026707433</v>
      </c>
      <c r="V92">
        <f t="shared" ca="1" si="77"/>
        <v>19.497114026707433</v>
      </c>
      <c r="W92">
        <f t="shared" ca="1" si="77"/>
        <v>19.497114026707433</v>
      </c>
      <c r="X92">
        <f t="shared" ca="1" si="77"/>
        <v>19.497114026707433</v>
      </c>
    </row>
    <row r="93" spans="4:24">
      <c r="D93" s="25" t="s">
        <v>175</v>
      </c>
      <c r="E93">
        <f ca="1">IF(E90&lt;$J$68,$J$70,IF(E90&lt;$K$68,$K$70,IF(E90&lt;$L$68,$L$70,$M$70)))</f>
        <v>-1.0002737785448337</v>
      </c>
      <c r="F93">
        <f t="shared" ref="F93:X93" ca="1" si="78">IF(F90&lt;$J$68,$J$70,IF(F90&lt;$K$68,$K$70,IF(F90&lt;$L$68,$L$70,$M$70)))</f>
        <v>-0.45489768687699278</v>
      </c>
      <c r="G93">
        <f t="shared" ca="1" si="78"/>
        <v>-0.45489768687699278</v>
      </c>
      <c r="H93">
        <f t="shared" ca="1" si="78"/>
        <v>-0.45489768687699278</v>
      </c>
      <c r="I93">
        <f t="shared" ca="1" si="78"/>
        <v>-0.45489768687699278</v>
      </c>
      <c r="J93">
        <f t="shared" ca="1" si="78"/>
        <v>-0.45489768687699278</v>
      </c>
      <c r="K93">
        <f t="shared" ca="1" si="78"/>
        <v>-0.45489768687699278</v>
      </c>
      <c r="L93">
        <f t="shared" ca="1" si="78"/>
        <v>-0.45489768687699278</v>
      </c>
      <c r="M93">
        <f t="shared" ca="1" si="78"/>
        <v>-0.45489768687699278</v>
      </c>
      <c r="N93">
        <f t="shared" ca="1" si="78"/>
        <v>-0.45489768687699278</v>
      </c>
      <c r="O93">
        <f t="shared" ca="1" si="78"/>
        <v>-0.38133823411203377</v>
      </c>
      <c r="P93">
        <f t="shared" ca="1" si="78"/>
        <v>-0.38133823411203377</v>
      </c>
      <c r="Q93">
        <f t="shared" ca="1" si="78"/>
        <v>-0.38133823411203377</v>
      </c>
      <c r="R93">
        <f t="shared" ca="1" si="78"/>
        <v>-0.38133823411203377</v>
      </c>
      <c r="S93">
        <f t="shared" ca="1" si="78"/>
        <v>-0.38133823411203377</v>
      </c>
      <c r="T93">
        <f t="shared" ca="1" si="78"/>
        <v>-0.38133823411203377</v>
      </c>
      <c r="U93">
        <f t="shared" ca="1" si="78"/>
        <v>-0.38133823411203377</v>
      </c>
      <c r="V93">
        <f t="shared" ca="1" si="78"/>
        <v>-0.38133823411203377</v>
      </c>
      <c r="W93">
        <f t="shared" ca="1" si="78"/>
        <v>-0.38133823411203377</v>
      </c>
      <c r="X93">
        <f t="shared" ca="1" si="78"/>
        <v>-0.38133823411203377</v>
      </c>
    </row>
    <row r="95" spans="4:24">
      <c r="D95" s="25" t="s">
        <v>388</v>
      </c>
      <c r="E95">
        <f t="shared" ref="E95:I95" ca="1" si="79">E92*E90^E93*VINMAX</f>
        <v>554.38488093989668</v>
      </c>
      <c r="F95">
        <f t="shared" ca="1" si="79"/>
        <v>473.47074409919816</v>
      </c>
      <c r="G95">
        <f t="shared" ca="1" si="79"/>
        <v>424.05151700513602</v>
      </c>
      <c r="H95">
        <f t="shared" ca="1" si="79"/>
        <v>379.79271539061244</v>
      </c>
      <c r="I95">
        <f t="shared" ca="1" si="79"/>
        <v>340.15576906611261</v>
      </c>
      <c r="J95">
        <f ca="1">J92*J90^J93*VINMAX</f>
        <v>304.65834596533006</v>
      </c>
      <c r="K95">
        <f t="shared" ref="K95:V95" ca="1" si="80">K92*K90^K93*VINMAX</f>
        <v>272.86847940796451</v>
      </c>
      <c r="L95">
        <f t="shared" ca="1" si="80"/>
        <v>244.39930683118166</v>
      </c>
      <c r="M95">
        <f t="shared" ca="1" si="80"/>
        <v>218.90435550059044</v>
      </c>
      <c r="N95">
        <f t="shared" ca="1" si="80"/>
        <v>196.07331730349659</v>
      </c>
      <c r="O95">
        <f t="shared" ca="1" si="80"/>
        <v>176.05123619002302</v>
      </c>
      <c r="P95">
        <f t="shared" ca="1" si="80"/>
        <v>160.53153936438602</v>
      </c>
      <c r="Q95">
        <f t="shared" ca="1" si="80"/>
        <v>146.38478183284698</v>
      </c>
      <c r="R95">
        <f t="shared" ca="1" si="80"/>
        <v>133.48983670671245</v>
      </c>
      <c r="S95">
        <f t="shared" ca="1" si="80"/>
        <v>121.73616601057076</v>
      </c>
      <c r="T95">
        <f t="shared" ca="1" si="80"/>
        <v>111.02284909834695</v>
      </c>
      <c r="U95">
        <f t="shared" ca="1" si="80"/>
        <v>101.25769953442546</v>
      </c>
      <c r="V95">
        <f t="shared" ca="1" si="80"/>
        <v>92.356471213446554</v>
      </c>
      <c r="W95">
        <f ca="1">W92*W90^W93*VINMAX</f>
        <v>84.24215641978391</v>
      </c>
      <c r="X95">
        <f t="shared" ref="X95" ca="1" si="81">X92*X90^X93*VINMAX</f>
        <v>76.844377434903322</v>
      </c>
    </row>
    <row r="96" spans="4:24">
      <c r="D96" s="25" t="s">
        <v>389</v>
      </c>
      <c r="E96">
        <f ca="1">E95*($J$63-$E$64)/($J$63 - 25)</f>
        <v>297.99296120281326</v>
      </c>
      <c r="F96">
        <f t="shared" ref="F96:X96" ca="1" si="82">F95*($J$63-$E$64)/($J$63 - 25)</f>
        <v>254.49999436820102</v>
      </c>
      <c r="G96">
        <f t="shared" ca="1" si="82"/>
        <v>227.93617142060074</v>
      </c>
      <c r="H96">
        <f t="shared" ca="1" si="82"/>
        <v>204.146180376762</v>
      </c>
      <c r="I96">
        <f t="shared" ca="1" si="82"/>
        <v>182.84052898841685</v>
      </c>
      <c r="J96">
        <f t="shared" ca="1" si="82"/>
        <v>163.75995412328422</v>
      </c>
      <c r="K96">
        <f t="shared" ca="1" si="82"/>
        <v>146.67226505136907</v>
      </c>
      <c r="L96">
        <f t="shared" ca="1" si="82"/>
        <v>131.36951540789676</v>
      </c>
      <c r="M96">
        <f t="shared" ca="1" si="82"/>
        <v>117.66546916867738</v>
      </c>
      <c r="N96">
        <f t="shared" ca="1" si="82"/>
        <v>105.39332951697548</v>
      </c>
      <c r="O96">
        <f t="shared" ca="1" si="82"/>
        <v>94.63106047686118</v>
      </c>
      <c r="P96">
        <f t="shared" ca="1" si="82"/>
        <v>86.288913039144774</v>
      </c>
      <c r="Q96">
        <f t="shared" ca="1" si="82"/>
        <v>78.684747930791914</v>
      </c>
      <c r="R96">
        <f t="shared" ca="1" si="82"/>
        <v>71.753457026592073</v>
      </c>
      <c r="S96">
        <f t="shared" ca="1" si="82"/>
        <v>65.435623954001997</v>
      </c>
      <c r="T96">
        <f t="shared" ca="1" si="82"/>
        <v>59.677001847343455</v>
      </c>
      <c r="U96">
        <f t="shared" ca="1" si="82"/>
        <v>54.428038653744373</v>
      </c>
      <c r="V96">
        <f t="shared" ca="1" si="82"/>
        <v>49.643450406651795</v>
      </c>
      <c r="W96">
        <f t="shared" ca="1" si="82"/>
        <v>45.281843918762249</v>
      </c>
      <c r="X96">
        <f t="shared" ca="1" si="82"/>
        <v>41.305389758809234</v>
      </c>
    </row>
    <row r="97" spans="4:25">
      <c r="D97" s="25" t="s">
        <v>391</v>
      </c>
      <c r="E97">
        <f ca="1">E96/E89</f>
        <v>0.37417498895380868</v>
      </c>
      <c r="F97">
        <f ca="1">F96/F89</f>
        <v>0.4065950448825334</v>
      </c>
      <c r="G97">
        <f ca="1">G96/G89</f>
        <v>0.46314202085194883</v>
      </c>
      <c r="H97">
        <f t="shared" ref="H97:J97" ca="1" si="83">H96/H89</f>
        <v>0.52728051100852835</v>
      </c>
      <c r="I97">
        <f t="shared" ca="1" si="83"/>
        <v>0.59990777355097724</v>
      </c>
      <c r="J97">
        <f t="shared" ca="1" si="83"/>
        <v>0.68197216812513684</v>
      </c>
      <c r="K97">
        <f ca="1">K96/K89</f>
        <v>0.7744491831939847</v>
      </c>
      <c r="L97">
        <f t="shared" ref="L97:X97" ca="1" si="84">L96/L89</f>
        <v>0.87830243567278421</v>
      </c>
      <c r="M97">
        <f t="shared" ca="1" si="84"/>
        <v>0.99442416484396412</v>
      </c>
      <c r="N97">
        <f t="shared" ca="1" si="84"/>
        <v>1.1235488178681579</v>
      </c>
      <c r="O97">
        <f t="shared" ca="1" si="84"/>
        <v>1.2691823465875132</v>
      </c>
      <c r="P97">
        <f t="shared" ca="1" si="84"/>
        <v>1.4512272657699932</v>
      </c>
      <c r="Q97">
        <f t="shared" ca="1" si="84"/>
        <v>1.652752362531799</v>
      </c>
      <c r="R97">
        <f t="shared" ca="1" si="84"/>
        <v>1.8730597055887499</v>
      </c>
      <c r="S97">
        <f t="shared" ca="1" si="84"/>
        <v>2.1101621621103255</v>
      </c>
      <c r="T97">
        <f t="shared" ca="1" si="84"/>
        <v>2.3604284649598997</v>
      </c>
      <c r="U97">
        <f t="shared" ca="1" si="84"/>
        <v>2.6182968582434349</v>
      </c>
      <c r="V97">
        <f t="shared" ca="1" si="84"/>
        <v>2.8761618593908813</v>
      </c>
      <c r="W97">
        <f t="shared" ca="1" si="84"/>
        <v>3.1245541083079806</v>
      </c>
      <c r="X97">
        <f t="shared" ca="1" si="84"/>
        <v>3.3527102076955546</v>
      </c>
    </row>
    <row r="99" spans="4:25">
      <c r="D99" s="25" t="s">
        <v>395</v>
      </c>
      <c r="E99" t="str">
        <f ca="1">IF(E97&gt;$E$20, "Y", "N")</f>
        <v>N</v>
      </c>
      <c r="F99" t="str">
        <f t="shared" ref="F99:X99" ca="1" si="85">IF(F97&gt;$E$20, "Y", "N")</f>
        <v>N</v>
      </c>
      <c r="G99" t="str">
        <f t="shared" ca="1" si="85"/>
        <v>N</v>
      </c>
      <c r="H99" t="str">
        <f t="shared" ca="1" si="85"/>
        <v>N</v>
      </c>
      <c r="I99" t="str">
        <f t="shared" ca="1" si="85"/>
        <v>N</v>
      </c>
      <c r="J99" t="str">
        <f t="shared" ca="1" si="85"/>
        <v>N</v>
      </c>
      <c r="K99" t="str">
        <f t="shared" ca="1" si="85"/>
        <v>N</v>
      </c>
      <c r="L99" t="str">
        <f t="shared" ca="1" si="85"/>
        <v>N</v>
      </c>
      <c r="M99" t="str">
        <f t="shared" ca="1" si="85"/>
        <v>N</v>
      </c>
      <c r="N99" t="str">
        <f t="shared" ca="1" si="85"/>
        <v>N</v>
      </c>
      <c r="O99" t="str">
        <f t="shared" ca="1" si="85"/>
        <v>N</v>
      </c>
      <c r="P99" t="str">
        <f t="shared" ca="1" si="85"/>
        <v>N</v>
      </c>
      <c r="Q99" t="str">
        <f t="shared" ca="1" si="85"/>
        <v>Y</v>
      </c>
      <c r="R99" t="str">
        <f t="shared" ca="1" si="85"/>
        <v>Y</v>
      </c>
      <c r="S99" t="str">
        <f t="shared" ca="1" si="85"/>
        <v>Y</v>
      </c>
      <c r="T99" t="str">
        <f t="shared" ca="1" si="85"/>
        <v>Y</v>
      </c>
      <c r="U99" t="str">
        <f t="shared" ca="1" si="85"/>
        <v>Y</v>
      </c>
      <c r="V99" t="str">
        <f t="shared" ca="1" si="85"/>
        <v>Y</v>
      </c>
      <c r="W99" t="str">
        <f t="shared" ca="1" si="85"/>
        <v>Y</v>
      </c>
      <c r="X99" t="str">
        <f t="shared" ca="1" si="85"/>
        <v>Y</v>
      </c>
      <c r="Y99" t="s">
        <v>398</v>
      </c>
    </row>
    <row r="100" spans="4:25">
      <c r="D100" s="25" t="s">
        <v>396</v>
      </c>
      <c r="E100">
        <f ca="1">IF(E99="Y", 1, 0)</f>
        <v>0</v>
      </c>
      <c r="F100">
        <f ca="1">IF(AND(F99="Y", E99="N"),  1, 0)</f>
        <v>0</v>
      </c>
      <c r="G100">
        <f t="shared" ref="G100" ca="1" si="86">IF(AND(G99="Y", F99="N"),  1, 0)</f>
        <v>0</v>
      </c>
      <c r="H100">
        <f t="shared" ref="H100" ca="1" si="87">IF(AND(H99="Y", G99="N"),  1, 0)</f>
        <v>0</v>
      </c>
      <c r="I100">
        <f t="shared" ref="I100" ca="1" si="88">IF(AND(I99="Y", H99="N"),  1, 0)</f>
        <v>0</v>
      </c>
      <c r="J100">
        <f t="shared" ref="J100" ca="1" si="89">IF(AND(J99="Y", I99="N"),  1, 0)</f>
        <v>0</v>
      </c>
      <c r="K100">
        <f t="shared" ref="K100" ca="1" si="90">IF(AND(K99="Y", J99="N"),  1, 0)</f>
        <v>0</v>
      </c>
      <c r="L100">
        <f t="shared" ref="L100" ca="1" si="91">IF(AND(L99="Y", K99="N"),  1, 0)</f>
        <v>0</v>
      </c>
      <c r="M100">
        <f t="shared" ref="M100" ca="1" si="92">IF(AND(M99="Y", L99="N"),  1, 0)</f>
        <v>0</v>
      </c>
      <c r="N100">
        <f t="shared" ref="N100" ca="1" si="93">IF(AND(N99="Y", M99="N"),  1, 0)</f>
        <v>0</v>
      </c>
      <c r="O100">
        <f t="shared" ref="O100" ca="1" si="94">IF(AND(O99="Y", N99="N"),  1, 0)</f>
        <v>0</v>
      </c>
      <c r="P100">
        <f t="shared" ref="P100" ca="1" si="95">IF(AND(P99="Y", O99="N"),  1, 0)</f>
        <v>0</v>
      </c>
      <c r="Q100">
        <f t="shared" ref="Q100" ca="1" si="96">IF(AND(Q99="Y", P99="N"),  1, 0)</f>
        <v>1</v>
      </c>
      <c r="R100">
        <f t="shared" ref="R100" ca="1" si="97">IF(AND(R99="Y", Q99="N"),  1, 0)</f>
        <v>0</v>
      </c>
      <c r="S100">
        <f t="shared" ref="S100" ca="1" si="98">IF(AND(S99="Y", R99="N"),  1, 0)</f>
        <v>0</v>
      </c>
      <c r="T100">
        <f t="shared" ref="T100" ca="1" si="99">IF(AND(T99="Y", S99="N"),  1, 0)</f>
        <v>0</v>
      </c>
      <c r="U100">
        <f t="shared" ref="U100" ca="1" si="100">IF(AND(U99="Y", T99="N"),  1, 0)</f>
        <v>0</v>
      </c>
      <c r="V100">
        <f t="shared" ref="V100" ca="1" si="101">IF(AND(V99="Y", U99="N"),  1, 0)</f>
        <v>0</v>
      </c>
      <c r="W100">
        <f t="shared" ref="W100" ca="1" si="102">IF(AND(W99="Y", V99="N"),  1, 0)</f>
        <v>0</v>
      </c>
      <c r="X100">
        <f t="shared" ref="X100" ca="1" si="103">IF(AND(X99="Y", W99="N"),  1, 0)</f>
        <v>0</v>
      </c>
    </row>
    <row r="101" spans="4:25">
      <c r="D101" s="25" t="s">
        <v>397</v>
      </c>
      <c r="E101">
        <v>0</v>
      </c>
      <c r="F101">
        <f ca="1">IF(AND(F99="Y", G99="N"),  1, 0)</f>
        <v>0</v>
      </c>
      <c r="G101">
        <f t="shared" ref="G101" ca="1" si="104">IF(AND(G99="Y", H99="N"),  1, 0)</f>
        <v>0</v>
      </c>
      <c r="H101">
        <f t="shared" ref="H101" ca="1" si="105">IF(AND(H99="Y", I99="N"),  1, 0)</f>
        <v>0</v>
      </c>
      <c r="I101">
        <f t="shared" ref="I101" ca="1" si="106">IF(AND(I99="Y", J99="N"),  1, 0)</f>
        <v>0</v>
      </c>
      <c r="J101">
        <f t="shared" ref="J101" ca="1" si="107">IF(AND(J99="Y", K99="N"),  1, 0)</f>
        <v>0</v>
      </c>
      <c r="K101">
        <f t="shared" ref="K101" ca="1" si="108">IF(AND(K99="Y", L99="N"),  1, 0)</f>
        <v>0</v>
      </c>
      <c r="L101">
        <f t="shared" ref="L101" ca="1" si="109">IF(AND(L99="Y", M99="N"),  1, 0)</f>
        <v>0</v>
      </c>
      <c r="M101">
        <f t="shared" ref="M101" ca="1" si="110">IF(AND(M99="Y", N99="N"),  1, 0)</f>
        <v>0</v>
      </c>
      <c r="N101">
        <f t="shared" ref="N101" ca="1" si="111">IF(AND(N99="Y", O99="N"),  1, 0)</f>
        <v>0</v>
      </c>
      <c r="O101">
        <f t="shared" ref="O101" ca="1" si="112">IF(AND(O99="Y", P99="N"),  1, 0)</f>
        <v>0</v>
      </c>
      <c r="P101">
        <f t="shared" ref="P101" ca="1" si="113">IF(AND(P99="Y", Q99="N"),  1, 0)</f>
        <v>0</v>
      </c>
      <c r="Q101">
        <f t="shared" ref="Q101" ca="1" si="114">IF(AND(Q99="Y", R99="N"),  1, 0)</f>
        <v>0</v>
      </c>
      <c r="R101">
        <f t="shared" ref="R101" ca="1" si="115">IF(AND(R99="Y", S99="N"),  1, 0)</f>
        <v>0</v>
      </c>
      <c r="S101">
        <f t="shared" ref="S101" ca="1" si="116">IF(AND(S99="Y", T99="N"),  1, 0)</f>
        <v>0</v>
      </c>
      <c r="T101">
        <f t="shared" ref="T101" ca="1" si="117">IF(AND(T99="Y", U99="N"),  1, 0)</f>
        <v>0</v>
      </c>
      <c r="U101">
        <f t="shared" ref="U101" ca="1" si="118">IF(AND(U99="Y", V99="N"),  1, 0)</f>
        <v>0</v>
      </c>
      <c r="V101">
        <f t="shared" ref="V101" ca="1" si="119">IF(AND(V99="Y", W99="N"),  1, 0)</f>
        <v>0</v>
      </c>
      <c r="W101">
        <f t="shared" ref="W101" ca="1" si="120">IF(AND(W99="Y", X99="N"),  1, 0)</f>
        <v>0</v>
      </c>
      <c r="X101">
        <f t="shared" ref="X101" ca="1" si="121">IF(AND(X99="Y", Y99="N"),  1, 0)</f>
        <v>1</v>
      </c>
    </row>
    <row r="103" spans="4:25">
      <c r="D103" t="s">
        <v>399</v>
      </c>
      <c r="E103">
        <f ca="1">E100*E80</f>
        <v>0</v>
      </c>
      <c r="F103">
        <f t="shared" ref="F103:X103" ca="1" si="122">F100*F80</f>
        <v>0</v>
      </c>
      <c r="G103">
        <f t="shared" ca="1" si="122"/>
        <v>0</v>
      </c>
      <c r="H103">
        <f t="shared" ca="1" si="122"/>
        <v>0</v>
      </c>
      <c r="I103">
        <f t="shared" ca="1" si="122"/>
        <v>0</v>
      </c>
      <c r="J103">
        <f t="shared" ca="1" si="122"/>
        <v>0</v>
      </c>
      <c r="K103">
        <f t="shared" ca="1" si="122"/>
        <v>0</v>
      </c>
      <c r="L103">
        <f t="shared" ca="1" si="122"/>
        <v>0</v>
      </c>
      <c r="M103">
        <f t="shared" ca="1" si="122"/>
        <v>0</v>
      </c>
      <c r="N103">
        <f t="shared" ca="1" si="122"/>
        <v>0</v>
      </c>
      <c r="O103">
        <f t="shared" ca="1" si="122"/>
        <v>0</v>
      </c>
      <c r="P103">
        <f t="shared" ca="1" si="122"/>
        <v>0</v>
      </c>
      <c r="Q103">
        <f t="shared" ca="1" si="122"/>
        <v>0.65467137374022233</v>
      </c>
      <c r="R103">
        <f t="shared" ca="1" si="122"/>
        <v>0</v>
      </c>
      <c r="S103">
        <f t="shared" ca="1" si="122"/>
        <v>0</v>
      </c>
      <c r="T103">
        <f t="shared" ca="1" si="122"/>
        <v>0</v>
      </c>
      <c r="U103">
        <f t="shared" ca="1" si="122"/>
        <v>0</v>
      </c>
      <c r="V103">
        <f t="shared" ca="1" si="122"/>
        <v>0</v>
      </c>
      <c r="W103">
        <f t="shared" ca="1" si="122"/>
        <v>0</v>
      </c>
      <c r="X103">
        <f t="shared" ca="1" si="122"/>
        <v>0</v>
      </c>
    </row>
    <row r="104" spans="4:25">
      <c r="D104" t="s">
        <v>400</v>
      </c>
      <c r="E104">
        <f>E80*E101</f>
        <v>0</v>
      </c>
      <c r="F104">
        <f t="shared" ref="F104:X104" ca="1" si="123">F80*F101</f>
        <v>0</v>
      </c>
      <c r="G104">
        <f t="shared" ca="1" si="123"/>
        <v>0</v>
      </c>
      <c r="H104">
        <f t="shared" ca="1" si="123"/>
        <v>0</v>
      </c>
      <c r="I104">
        <f t="shared" ca="1" si="123"/>
        <v>0</v>
      </c>
      <c r="J104">
        <f t="shared" ca="1" si="123"/>
        <v>0</v>
      </c>
      <c r="K104">
        <f t="shared" ca="1" si="123"/>
        <v>0</v>
      </c>
      <c r="L104">
        <f t="shared" ca="1" si="123"/>
        <v>0</v>
      </c>
      <c r="M104">
        <f t="shared" ca="1" si="123"/>
        <v>0</v>
      </c>
      <c r="N104">
        <f t="shared" ca="1" si="123"/>
        <v>0</v>
      </c>
      <c r="O104">
        <f t="shared" ca="1" si="123"/>
        <v>0</v>
      </c>
      <c r="P104">
        <f t="shared" ca="1" si="123"/>
        <v>0</v>
      </c>
      <c r="Q104">
        <f t="shared" ca="1" si="123"/>
        <v>0</v>
      </c>
      <c r="R104">
        <f t="shared" ca="1" si="123"/>
        <v>0</v>
      </c>
      <c r="S104">
        <f t="shared" ca="1" si="123"/>
        <v>0</v>
      </c>
      <c r="T104">
        <f t="shared" ca="1" si="123"/>
        <v>0</v>
      </c>
      <c r="U104">
        <f t="shared" ca="1" si="123"/>
        <v>0</v>
      </c>
      <c r="V104">
        <f t="shared" ca="1" si="123"/>
        <v>0</v>
      </c>
      <c r="W104">
        <f t="shared" ca="1" si="123"/>
        <v>0</v>
      </c>
      <c r="X104">
        <f t="shared" ca="1" si="123"/>
        <v>0.12</v>
      </c>
    </row>
    <row r="107" spans="4:25" ht="31">
      <c r="D107" s="239" t="s">
        <v>593</v>
      </c>
    </row>
    <row r="108" spans="4:25" ht="15">
      <c r="D108" s="69" t="s">
        <v>392</v>
      </c>
      <c r="I108" s="26" t="s">
        <v>457</v>
      </c>
      <c r="J108">
        <f>'Design Calculator'!H56</f>
        <v>175</v>
      </c>
      <c r="K108" s="25" t="s">
        <v>615</v>
      </c>
    </row>
    <row r="109" spans="4:25">
      <c r="D109" s="25" t="s">
        <v>390</v>
      </c>
      <c r="E109">
        <f ca="1">SOA!H124</f>
        <v>91</v>
      </c>
    </row>
    <row r="110" spans="4:25">
      <c r="D110" s="25" t="s">
        <v>375</v>
      </c>
      <c r="E110">
        <v>1.5</v>
      </c>
      <c r="I110" s="65" t="s">
        <v>384</v>
      </c>
      <c r="K110" s="16"/>
      <c r="L110" s="16"/>
      <c r="M110" s="16"/>
    </row>
    <row r="111" spans="4:25">
      <c r="D111" s="25" t="s">
        <v>367</v>
      </c>
      <c r="E111">
        <f>1/2*COUTMAX*VINMAX^2*0.000001</f>
        <v>0.72599999999999998</v>
      </c>
      <c r="J111" s="69" t="s">
        <v>594</v>
      </c>
      <c r="K111" s="163" t="s">
        <v>595</v>
      </c>
      <c r="L111" s="163" t="s">
        <v>613</v>
      </c>
      <c r="M111" s="163" t="s">
        <v>614</v>
      </c>
    </row>
    <row r="112" spans="4:25">
      <c r="D112" s="25" t="s">
        <v>369</v>
      </c>
      <c r="E112">
        <f>MAX(Equations!H71-E111,0)</f>
        <v>0.44240624999999989</v>
      </c>
      <c r="I112" s="65" t="s">
        <v>386</v>
      </c>
      <c r="J112" s="65">
        <v>0.01</v>
      </c>
      <c r="K112" s="1">
        <v>0.1</v>
      </c>
      <c r="L112" s="1">
        <v>1</v>
      </c>
      <c r="M112" s="1">
        <v>10</v>
      </c>
    </row>
    <row r="113" spans="4:24">
      <c r="D113" s="25" t="s">
        <v>370</v>
      </c>
      <c r="E113">
        <f>Equations!H70</f>
        <v>206.25</v>
      </c>
      <c r="I113" s="65" t="s">
        <v>387</v>
      </c>
      <c r="J113" s="1">
        <v>0.1</v>
      </c>
      <c r="K113" s="1">
        <v>1</v>
      </c>
      <c r="L113" s="1">
        <v>10</v>
      </c>
      <c r="M113" s="1">
        <v>100</v>
      </c>
    </row>
    <row r="114" spans="4:24">
      <c r="I114" s="65" t="s">
        <v>174</v>
      </c>
      <c r="J114" s="1">
        <f>SOA!C132</f>
        <v>40.500000000000007</v>
      </c>
      <c r="K114" s="1">
        <f>SOA!D132</f>
        <v>40</v>
      </c>
      <c r="L114" s="1">
        <f>SOA!E132</f>
        <v>40</v>
      </c>
      <c r="M114" s="1">
        <f>SOA!F132</f>
        <v>12.5</v>
      </c>
    </row>
    <row r="115" spans="4:24">
      <c r="D115" t="s">
        <v>180</v>
      </c>
      <c r="E115">
        <f>'Design Calculator'!F27</f>
        <v>0</v>
      </c>
      <c r="I115" s="65" t="s">
        <v>175</v>
      </c>
      <c r="J115" s="16">
        <f>SOA!C133</f>
        <v>-0.34678748622465633</v>
      </c>
      <c r="K115" s="16">
        <f>SOA!D133</f>
        <v>-0.35218251811136247</v>
      </c>
      <c r="L115" s="16">
        <f>SOA!E133</f>
        <v>-0.6020599913279624</v>
      </c>
      <c r="M115" s="16">
        <f>SOA!F133</f>
        <v>-9.691001300805642E-2</v>
      </c>
    </row>
    <row r="116" spans="4:24">
      <c r="D116" t="s">
        <v>129</v>
      </c>
      <c r="E116" t="str">
        <f>'Design Calculator'!F28</f>
        <v>Constant Current</v>
      </c>
    </row>
    <row r="117" spans="4:24">
      <c r="D117" t="s">
        <v>130</v>
      </c>
      <c r="E117">
        <f>'Design Calculator'!F29</f>
        <v>0.2</v>
      </c>
      <c r="I117" s="135" t="s">
        <v>403</v>
      </c>
      <c r="J117" s="69" t="s">
        <v>142</v>
      </c>
    </row>
    <row r="118" spans="4:24">
      <c r="G118" t="s">
        <v>401</v>
      </c>
      <c r="I118" s="3">
        <f ca="1">SUM(E148:X148)</f>
        <v>1.0630401484920993</v>
      </c>
      <c r="J118" s="3">
        <f ca="1">IF(I118=0, "NA", I118/AVERAGE(1, E122))</f>
        <v>1.1912415855928926</v>
      </c>
    </row>
    <row r="119" spans="4:24">
      <c r="D119" s="25" t="s">
        <v>420</v>
      </c>
      <c r="E119">
        <f>12/1</f>
        <v>12</v>
      </c>
      <c r="G119" t="s">
        <v>402</v>
      </c>
      <c r="I119" s="3">
        <f ca="1">SUM(E149:X149)</f>
        <v>0.12</v>
      </c>
      <c r="J119" s="3">
        <f ca="1">IF(I119=0, "NA", I119*AVERAGE(1,E122))</f>
        <v>0.10708559822108767</v>
      </c>
    </row>
    <row r="120" spans="4:24">
      <c r="D120" s="25" t="s">
        <v>421</v>
      </c>
      <c r="E120">
        <v>0.12</v>
      </c>
    </row>
    <row r="121" spans="4:24">
      <c r="D121" s="25" t="s">
        <v>393</v>
      </c>
      <c r="E121">
        <v>20</v>
      </c>
    </row>
    <row r="122" spans="4:24">
      <c r="D122" s="25" t="s">
        <v>394</v>
      </c>
      <c r="E122">
        <f>(E120/E119)^(1/(E121-1))</f>
        <v>0.78475997035146128</v>
      </c>
    </row>
    <row r="123" spans="4:24">
      <c r="D123" s="25"/>
    </row>
    <row r="124" spans="4:24">
      <c r="E124">
        <v>1</v>
      </c>
      <c r="F124">
        <v>2</v>
      </c>
      <c r="G124">
        <v>3</v>
      </c>
      <c r="H124">
        <v>4</v>
      </c>
      <c r="I124">
        <v>5</v>
      </c>
      <c r="J124">
        <v>6</v>
      </c>
      <c r="K124">
        <v>7</v>
      </c>
      <c r="L124">
        <v>8</v>
      </c>
      <c r="M124">
        <v>9</v>
      </c>
      <c r="N124">
        <v>10</v>
      </c>
      <c r="O124">
        <v>11</v>
      </c>
      <c r="P124">
        <v>12</v>
      </c>
      <c r="Q124">
        <v>13</v>
      </c>
      <c r="R124">
        <v>14</v>
      </c>
      <c r="S124">
        <v>15</v>
      </c>
      <c r="T124">
        <v>16</v>
      </c>
      <c r="U124">
        <v>17</v>
      </c>
      <c r="V124">
        <v>18</v>
      </c>
      <c r="W124">
        <v>19</v>
      </c>
      <c r="X124">
        <v>20</v>
      </c>
    </row>
    <row r="125" spans="4:24">
      <c r="D125" s="162" t="s">
        <v>368</v>
      </c>
      <c r="E125" s="162">
        <f>E119</f>
        <v>12</v>
      </c>
      <c r="F125" s="162">
        <f>E125*$E$32</f>
        <v>9.4171196442175358</v>
      </c>
      <c r="G125" s="162">
        <f t="shared" ref="G125" si="124">F125*$E$32</f>
        <v>7.3901785327923166</v>
      </c>
      <c r="H125" s="162">
        <f t="shared" ref="H125" si="125">G125*$E$32</f>
        <v>5.7995162862861038</v>
      </c>
      <c r="I125" s="162">
        <f t="shared" ref="I125" si="126">H125*$E$32</f>
        <v>4.5512282288787</v>
      </c>
      <c r="J125" s="162">
        <f t="shared" ref="J125" si="127">I125*$E$32</f>
        <v>3.5716217299575823</v>
      </c>
      <c r="K125" s="162">
        <f t="shared" ref="K125" si="128">J125*$E$32</f>
        <v>2.802865762908147</v>
      </c>
      <c r="L125" s="162">
        <f t="shared" ref="L125" si="129">K125*$E$32</f>
        <v>2.1995768529989235</v>
      </c>
      <c r="M125" s="162">
        <f t="shared" ref="M125" si="130">L125*$E$32</f>
        <v>1.7261398659451956</v>
      </c>
      <c r="N125" s="162">
        <f t="shared" ref="N125" si="131">M125*$E$32</f>
        <v>1.354605470021627</v>
      </c>
      <c r="O125" s="162">
        <f t="shared" ref="O125" si="132">N125*$E$32</f>
        <v>1.0630401484920993</v>
      </c>
      <c r="P125" s="162">
        <f t="shared" ref="P125" si="133">O125*$E$32</f>
        <v>0.83423135541307281</v>
      </c>
      <c r="Q125" s="162">
        <f t="shared" ref="Q125" si="134">P125*$E$32</f>
        <v>0.65467137374022233</v>
      </c>
      <c r="R125" s="162">
        <f t="shared" ref="R125" si="135">Q125*$E$32</f>
        <v>0.51375988784632731</v>
      </c>
      <c r="S125" s="162">
        <f t="shared" ref="S125" si="136">R125*$E$32</f>
        <v>0.40317819435405389</v>
      </c>
      <c r="T125" s="162">
        <f t="shared" ref="T125" si="137">S125*$E$32</f>
        <v>0.316398107847643</v>
      </c>
      <c r="U125" s="162">
        <f t="shared" ref="U125" si="138">T125*$E$32</f>
        <v>0.24829656973377476</v>
      </c>
      <c r="V125" s="162">
        <f t="shared" ref="V125" si="139">U125*$E$32</f>
        <v>0.19485320870264661</v>
      </c>
      <c r="W125" s="162">
        <f t="shared" ref="W125" si="140">V125*$E$32</f>
        <v>0.15291299828437604</v>
      </c>
      <c r="X125" s="162">
        <f t="shared" ref="X125" si="141">W125*$E$32</f>
        <v>0.12</v>
      </c>
    </row>
    <row r="126" spans="4:24">
      <c r="D126" s="25" t="s">
        <v>371</v>
      </c>
      <c r="E126">
        <f t="shared" ref="E126:X126" si="142">VINMAX/E125</f>
        <v>1.8333333333333333</v>
      </c>
      <c r="F126">
        <f t="shared" si="142"/>
        <v>2.3361708071224117</v>
      </c>
      <c r="G126">
        <f t="shared" si="142"/>
        <v>2.9769240218459898</v>
      </c>
      <c r="H126">
        <f t="shared" si="142"/>
        <v>3.7934198153771144</v>
      </c>
      <c r="I126">
        <f t="shared" si="142"/>
        <v>4.8338599810056566</v>
      </c>
      <c r="J126">
        <f t="shared" si="142"/>
        <v>6.1596668581869327</v>
      </c>
      <c r="K126">
        <f t="shared" si="142"/>
        <v>7.8491093976522217</v>
      </c>
      <c r="L126">
        <f t="shared" si="142"/>
        <v>10.001923765475617</v>
      </c>
      <c r="M126">
        <f t="shared" si="142"/>
        <v>12.745201263255275</v>
      </c>
      <c r="N126">
        <f t="shared" si="142"/>
        <v>16.240891157518181</v>
      </c>
      <c r="O126">
        <f t="shared" si="142"/>
        <v>20.69536134755263</v>
      </c>
      <c r="P126">
        <f t="shared" si="142"/>
        <v>26.371581285273816</v>
      </c>
      <c r="Q126">
        <f t="shared" si="142"/>
        <v>33.604646365261324</v>
      </c>
      <c r="R126">
        <f t="shared" si="142"/>
        <v>42.821560266652241</v>
      </c>
      <c r="S126">
        <f t="shared" si="142"/>
        <v>54.566443096574162</v>
      </c>
      <c r="T126">
        <f t="shared" si="142"/>
        <v>69.532653496757916</v>
      </c>
      <c r="U126">
        <f t="shared" si="142"/>
        <v>88.603721040482142</v>
      </c>
      <c r="V126">
        <f t="shared" si="142"/>
        <v>112.90550536210483</v>
      </c>
      <c r="W126">
        <f t="shared" si="142"/>
        <v>143.87266123110123</v>
      </c>
      <c r="X126">
        <f t="shared" si="142"/>
        <v>183.33333333333334</v>
      </c>
    </row>
    <row r="127" spans="4:24">
      <c r="D127" s="25" t="s">
        <v>372</v>
      </c>
      <c r="E127">
        <f t="shared" ref="E127:X127" si="143">E125*COUTMAX/1000</f>
        <v>36</v>
      </c>
      <c r="F127">
        <f t="shared" si="143"/>
        <v>28.251358932652607</v>
      </c>
      <c r="G127">
        <f t="shared" si="143"/>
        <v>22.170535598376951</v>
      </c>
      <c r="H127">
        <f t="shared" si="143"/>
        <v>17.398548858858309</v>
      </c>
      <c r="I127">
        <f t="shared" si="143"/>
        <v>13.653684686636099</v>
      </c>
      <c r="J127">
        <f t="shared" si="143"/>
        <v>10.714865189872748</v>
      </c>
      <c r="K127">
        <f t="shared" si="143"/>
        <v>8.4085972887244402</v>
      </c>
      <c r="L127">
        <f t="shared" si="143"/>
        <v>6.5987305589967704</v>
      </c>
      <c r="M127">
        <f t="shared" si="143"/>
        <v>5.1784195978355863</v>
      </c>
      <c r="N127">
        <f t="shared" si="143"/>
        <v>4.0638164100648808</v>
      </c>
      <c r="O127">
        <f t="shared" si="143"/>
        <v>3.189120445476298</v>
      </c>
      <c r="P127">
        <f t="shared" si="143"/>
        <v>2.5026940662392185</v>
      </c>
      <c r="Q127">
        <f t="shared" si="143"/>
        <v>1.964014121220667</v>
      </c>
      <c r="R127">
        <f t="shared" si="143"/>
        <v>1.541279663538982</v>
      </c>
      <c r="S127">
        <f t="shared" si="143"/>
        <v>1.2095345830621616</v>
      </c>
      <c r="T127">
        <f t="shared" si="143"/>
        <v>0.94919432354292899</v>
      </c>
      <c r="U127">
        <f t="shared" si="143"/>
        <v>0.74488970920132436</v>
      </c>
      <c r="V127">
        <f t="shared" si="143"/>
        <v>0.58455962610793988</v>
      </c>
      <c r="W127">
        <f t="shared" si="143"/>
        <v>0.45873899485312813</v>
      </c>
      <c r="X127">
        <f t="shared" si="143"/>
        <v>0.36</v>
      </c>
    </row>
    <row r="128" spans="4:24">
      <c r="D128" s="25" t="s">
        <v>373</v>
      </c>
      <c r="E128">
        <f>$E$111+$E$112*E126/$E$113</f>
        <v>0.72993249999999998</v>
      </c>
      <c r="F128">
        <f t="shared" ref="F128:X128" si="144">$E$111+$E$112*F126/$E$113</f>
        <v>0.73101108638127754</v>
      </c>
      <c r="G128">
        <f t="shared" si="144"/>
        <v>0.73238550202685959</v>
      </c>
      <c r="H128">
        <f t="shared" si="144"/>
        <v>0.73413688550398393</v>
      </c>
      <c r="I128">
        <f t="shared" si="144"/>
        <v>0.73636862965925709</v>
      </c>
      <c r="J128">
        <f t="shared" si="144"/>
        <v>0.73921248541081097</v>
      </c>
      <c r="K128">
        <f t="shared" si="144"/>
        <v>0.74283633965796403</v>
      </c>
      <c r="L128">
        <f t="shared" si="144"/>
        <v>0.7474541264769452</v>
      </c>
      <c r="M128">
        <f t="shared" si="144"/>
        <v>0.75333845670968258</v>
      </c>
      <c r="N128">
        <f t="shared" si="144"/>
        <v>0.76083671153287646</v>
      </c>
      <c r="O128">
        <f t="shared" si="144"/>
        <v>0.77039155009050031</v>
      </c>
      <c r="P128">
        <f t="shared" si="144"/>
        <v>0.78256704185691228</v>
      </c>
      <c r="Q128">
        <f t="shared" si="144"/>
        <v>0.7980819664534855</v>
      </c>
      <c r="R128">
        <f t="shared" si="144"/>
        <v>0.81785224677196899</v>
      </c>
      <c r="S128">
        <f t="shared" si="144"/>
        <v>0.84304502044215157</v>
      </c>
      <c r="T128">
        <f t="shared" si="144"/>
        <v>0.87514754175054565</v>
      </c>
      <c r="U128">
        <f t="shared" si="144"/>
        <v>0.91605498163183419</v>
      </c>
      <c r="V128">
        <f t="shared" si="144"/>
        <v>0.96818230900171476</v>
      </c>
      <c r="W128">
        <f t="shared" si="144"/>
        <v>1.034606858340712</v>
      </c>
      <c r="X128">
        <f t="shared" si="144"/>
        <v>1.1192499999999999</v>
      </c>
    </row>
    <row r="129" spans="4:25">
      <c r="D129" s="25" t="s">
        <v>376</v>
      </c>
      <c r="E129">
        <f t="shared" ref="E129:X129" si="145">(E127+IF($E$116="Resistive",0,IF($E$115=0,$E$117,0)))*VINMAX</f>
        <v>796.40000000000009</v>
      </c>
      <c r="F129">
        <f t="shared" si="145"/>
        <v>625.9298965183574</v>
      </c>
      <c r="G129">
        <f t="shared" si="145"/>
        <v>492.15178316429291</v>
      </c>
      <c r="H129">
        <f t="shared" si="145"/>
        <v>387.16807489488281</v>
      </c>
      <c r="I129">
        <f t="shared" si="145"/>
        <v>304.78106310599418</v>
      </c>
      <c r="J129">
        <f t="shared" si="145"/>
        <v>240.12703417720044</v>
      </c>
      <c r="K129">
        <f t="shared" si="145"/>
        <v>189.38914035193767</v>
      </c>
      <c r="L129">
        <f t="shared" si="145"/>
        <v>149.57207229792894</v>
      </c>
      <c r="M129">
        <f t="shared" si="145"/>
        <v>118.3252311523829</v>
      </c>
      <c r="N129">
        <f t="shared" si="145"/>
        <v>93.803961021427384</v>
      </c>
      <c r="O129">
        <f t="shared" si="145"/>
        <v>74.560649800478558</v>
      </c>
      <c r="P129">
        <f t="shared" si="145"/>
        <v>59.459269457262813</v>
      </c>
      <c r="Q129">
        <f t="shared" si="145"/>
        <v>47.608310666854678</v>
      </c>
      <c r="R129">
        <f t="shared" si="145"/>
        <v>38.308152597857607</v>
      </c>
      <c r="S129">
        <f t="shared" si="145"/>
        <v>31.009760827367554</v>
      </c>
      <c r="T129">
        <f t="shared" si="145"/>
        <v>25.282275117944437</v>
      </c>
      <c r="U129">
        <f t="shared" si="145"/>
        <v>20.787573602429138</v>
      </c>
      <c r="V129">
        <f t="shared" si="145"/>
        <v>17.260311774374678</v>
      </c>
      <c r="W129">
        <f t="shared" si="145"/>
        <v>14.492257886768819</v>
      </c>
      <c r="X129">
        <f t="shared" si="145"/>
        <v>12.32</v>
      </c>
    </row>
    <row r="130" spans="4:25">
      <c r="D130" s="25" t="s">
        <v>374</v>
      </c>
      <c r="E130">
        <f t="shared" ref="E130:X130" si="146">(E127+IF($E$116="Resistive", $E$115/$E$117,$E$117)) *(VINMAX-$E$115)</f>
        <v>796.40000000000009</v>
      </c>
      <c r="F130">
        <f t="shared" si="146"/>
        <v>625.9298965183574</v>
      </c>
      <c r="G130">
        <f t="shared" si="146"/>
        <v>492.15178316429291</v>
      </c>
      <c r="H130">
        <f t="shared" si="146"/>
        <v>387.16807489488281</v>
      </c>
      <c r="I130">
        <f t="shared" si="146"/>
        <v>304.78106310599418</v>
      </c>
      <c r="J130">
        <f t="shared" si="146"/>
        <v>240.12703417720044</v>
      </c>
      <c r="K130">
        <f t="shared" si="146"/>
        <v>189.38914035193767</v>
      </c>
      <c r="L130">
        <f t="shared" si="146"/>
        <v>149.57207229792894</v>
      </c>
      <c r="M130">
        <f t="shared" si="146"/>
        <v>118.3252311523829</v>
      </c>
      <c r="N130">
        <f t="shared" si="146"/>
        <v>93.803961021427384</v>
      </c>
      <c r="O130">
        <f t="shared" si="146"/>
        <v>74.560649800478558</v>
      </c>
      <c r="P130">
        <f t="shared" si="146"/>
        <v>59.459269457262813</v>
      </c>
      <c r="Q130">
        <f t="shared" si="146"/>
        <v>47.608310666854678</v>
      </c>
      <c r="R130">
        <f t="shared" si="146"/>
        <v>38.308152597857607</v>
      </c>
      <c r="S130">
        <f t="shared" si="146"/>
        <v>31.009760827367554</v>
      </c>
      <c r="T130">
        <f t="shared" si="146"/>
        <v>25.282275117944437</v>
      </c>
      <c r="U130">
        <f t="shared" si="146"/>
        <v>20.787573602429138</v>
      </c>
      <c r="V130">
        <f t="shared" si="146"/>
        <v>17.260311774374678</v>
      </c>
      <c r="W130">
        <f t="shared" si="146"/>
        <v>14.492257886768819</v>
      </c>
      <c r="X130">
        <f t="shared" si="146"/>
        <v>12.32</v>
      </c>
    </row>
    <row r="131" spans="4:25">
      <c r="D131" s="25" t="s">
        <v>379</v>
      </c>
      <c r="E131">
        <f t="shared" ref="E131:X131" si="147">IF($E$116="Resistive", -$E$117*E127/2 + VINMAX/2, -1)</f>
        <v>-1</v>
      </c>
      <c r="F131">
        <f t="shared" si="147"/>
        <v>-1</v>
      </c>
      <c r="G131">
        <f t="shared" si="147"/>
        <v>-1</v>
      </c>
      <c r="H131">
        <f t="shared" si="147"/>
        <v>-1</v>
      </c>
      <c r="I131">
        <f t="shared" si="147"/>
        <v>-1</v>
      </c>
      <c r="J131">
        <f t="shared" si="147"/>
        <v>-1</v>
      </c>
      <c r="K131">
        <f t="shared" si="147"/>
        <v>-1</v>
      </c>
      <c r="L131">
        <f t="shared" si="147"/>
        <v>-1</v>
      </c>
      <c r="M131">
        <f t="shared" si="147"/>
        <v>-1</v>
      </c>
      <c r="N131">
        <f t="shared" si="147"/>
        <v>-1</v>
      </c>
      <c r="O131">
        <f t="shared" si="147"/>
        <v>-1</v>
      </c>
      <c r="P131">
        <f t="shared" si="147"/>
        <v>-1</v>
      </c>
      <c r="Q131">
        <f t="shared" si="147"/>
        <v>-1</v>
      </c>
      <c r="R131">
        <f t="shared" si="147"/>
        <v>-1</v>
      </c>
      <c r="S131">
        <f t="shared" si="147"/>
        <v>-1</v>
      </c>
      <c r="T131">
        <f t="shared" si="147"/>
        <v>-1</v>
      </c>
      <c r="U131">
        <f t="shared" si="147"/>
        <v>-1</v>
      </c>
      <c r="V131">
        <f t="shared" si="147"/>
        <v>-1</v>
      </c>
      <c r="W131">
        <f t="shared" si="147"/>
        <v>-1</v>
      </c>
      <c r="X131">
        <f t="shared" si="147"/>
        <v>-1</v>
      </c>
    </row>
    <row r="132" spans="4:25">
      <c r="D132" s="25" t="s">
        <v>381</v>
      </c>
      <c r="E132">
        <f t="shared" ref="E132:X132" si="148">IF(AND(E131&lt;VINMAX, E131&gt;$E$115), (VINMAX-E131)*(E127+E131/$E$117), 0)</f>
        <v>0</v>
      </c>
      <c r="F132">
        <f t="shared" si="148"/>
        <v>0</v>
      </c>
      <c r="G132">
        <f t="shared" si="148"/>
        <v>0</v>
      </c>
      <c r="H132">
        <f t="shared" si="148"/>
        <v>0</v>
      </c>
      <c r="I132">
        <f t="shared" si="148"/>
        <v>0</v>
      </c>
      <c r="J132">
        <f t="shared" si="148"/>
        <v>0</v>
      </c>
      <c r="K132">
        <f t="shared" si="148"/>
        <v>0</v>
      </c>
      <c r="L132">
        <f t="shared" si="148"/>
        <v>0</v>
      </c>
      <c r="M132">
        <f t="shared" si="148"/>
        <v>0</v>
      </c>
      <c r="N132">
        <f t="shared" si="148"/>
        <v>0</v>
      </c>
      <c r="O132">
        <f t="shared" si="148"/>
        <v>0</v>
      </c>
      <c r="P132">
        <f t="shared" si="148"/>
        <v>0</v>
      </c>
      <c r="Q132">
        <f t="shared" si="148"/>
        <v>0</v>
      </c>
      <c r="R132">
        <f t="shared" si="148"/>
        <v>0</v>
      </c>
      <c r="S132">
        <f t="shared" si="148"/>
        <v>0</v>
      </c>
      <c r="T132">
        <f t="shared" si="148"/>
        <v>0</v>
      </c>
      <c r="U132">
        <f t="shared" si="148"/>
        <v>0</v>
      </c>
      <c r="V132">
        <f t="shared" si="148"/>
        <v>0</v>
      </c>
      <c r="W132">
        <f t="shared" si="148"/>
        <v>0</v>
      </c>
      <c r="X132">
        <f t="shared" si="148"/>
        <v>0</v>
      </c>
    </row>
    <row r="134" spans="4:25">
      <c r="D134" s="25" t="s">
        <v>382</v>
      </c>
      <c r="E134">
        <f>MAX(E129,E130,E132)</f>
        <v>796.40000000000009</v>
      </c>
      <c r="F134">
        <f>MAX(F129,F130,F132)</f>
        <v>625.9298965183574</v>
      </c>
      <c r="G134">
        <f>MAX(G129,G130,G132)</f>
        <v>492.15178316429291</v>
      </c>
      <c r="H134">
        <f t="shared" ref="H134:J134" si="149">MAX(H129,H130,H132)</f>
        <v>387.16807489488281</v>
      </c>
      <c r="I134">
        <f t="shared" si="149"/>
        <v>304.78106310599418</v>
      </c>
      <c r="J134">
        <f t="shared" si="149"/>
        <v>240.12703417720044</v>
      </c>
      <c r="K134">
        <f>MAX(K129,K130,K132)</f>
        <v>189.38914035193767</v>
      </c>
      <c r="L134">
        <f t="shared" ref="L134:X134" si="150">MAX(L129,L130,L132)</f>
        <v>149.57207229792894</v>
      </c>
      <c r="M134">
        <f t="shared" si="150"/>
        <v>118.3252311523829</v>
      </c>
      <c r="N134">
        <f t="shared" si="150"/>
        <v>93.803961021427384</v>
      </c>
      <c r="O134">
        <f t="shared" si="150"/>
        <v>74.560649800478558</v>
      </c>
      <c r="P134">
        <f t="shared" si="150"/>
        <v>59.459269457262813</v>
      </c>
      <c r="Q134">
        <f t="shared" si="150"/>
        <v>47.608310666854678</v>
      </c>
      <c r="R134">
        <f t="shared" si="150"/>
        <v>38.308152597857607</v>
      </c>
      <c r="S134">
        <f t="shared" si="150"/>
        <v>31.009760827367554</v>
      </c>
      <c r="T134">
        <f t="shared" si="150"/>
        <v>25.282275117944437</v>
      </c>
      <c r="U134">
        <f t="shared" si="150"/>
        <v>20.787573602429138</v>
      </c>
      <c r="V134">
        <f t="shared" si="150"/>
        <v>17.260311774374678</v>
      </c>
      <c r="W134">
        <f t="shared" si="150"/>
        <v>14.492257886768819</v>
      </c>
      <c r="X134">
        <f t="shared" si="150"/>
        <v>12.32</v>
      </c>
    </row>
    <row r="135" spans="4:25">
      <c r="D135" s="25" t="s">
        <v>383</v>
      </c>
      <c r="E135">
        <f>E128/E134*1000</f>
        <v>0.9165400552486187</v>
      </c>
      <c r="F135">
        <f>F128/F134*1000</f>
        <v>1.1678801259492775</v>
      </c>
      <c r="G135">
        <f>G128/G134*1000</f>
        <v>1.4881293273347149</v>
      </c>
      <c r="H135">
        <f t="shared" ref="H135:J135" si="151">H128/H134*1000</f>
        <v>1.8961710252150932</v>
      </c>
      <c r="I135">
        <f t="shared" si="151"/>
        <v>2.4160576846704189</v>
      </c>
      <c r="J135">
        <f t="shared" si="151"/>
        <v>3.0784225855440881</v>
      </c>
      <c r="K135">
        <f>K128/K134*1000</f>
        <v>3.9222752596984582</v>
      </c>
      <c r="L135">
        <f t="shared" ref="L135:X135" si="152">L128/L134*1000</f>
        <v>4.997284018289923</v>
      </c>
      <c r="M135">
        <f t="shared" si="152"/>
        <v>6.3666764000613698</v>
      </c>
      <c r="N135">
        <f t="shared" si="152"/>
        <v>8.1109230702857058</v>
      </c>
      <c r="O135">
        <f t="shared" si="152"/>
        <v>10.332414647029481</v>
      </c>
      <c r="P135">
        <f t="shared" si="152"/>
        <v>13.161396851997877</v>
      </c>
      <c r="Q135">
        <f t="shared" si="152"/>
        <v>16.763501062622606</v>
      </c>
      <c r="R135">
        <f t="shared" si="152"/>
        <v>21.349300117847697</v>
      </c>
      <c r="S135">
        <f t="shared" si="152"/>
        <v>27.186440589961762</v>
      </c>
      <c r="T135">
        <f t="shared" si="152"/>
        <v>34.615062832276429</v>
      </c>
      <c r="U135">
        <f t="shared" si="152"/>
        <v>44.067431781686551</v>
      </c>
      <c r="V135">
        <f t="shared" si="152"/>
        <v>56.092979180081521</v>
      </c>
      <c r="W135">
        <f t="shared" si="152"/>
        <v>71.390315189277032</v>
      </c>
      <c r="X135">
        <f t="shared" si="152"/>
        <v>90.848214285714263</v>
      </c>
    </row>
    <row r="137" spans="4:25">
      <c r="D137" s="25" t="s">
        <v>174</v>
      </c>
      <c r="E137">
        <f>IF(E135&lt;$J$113,$J$114,IF(E135&lt;$K$113,$K$114,IF(E135&lt;$L$113,$L$114,$M$114)))</f>
        <v>40</v>
      </c>
      <c r="F137">
        <f t="shared" ref="F137:X137" si="153">IF(F135&lt;$J$113,$J$114,IF(F135&lt;$K$113,$K$114,IF(F135&lt;$L$113,$L$114,$M$114)))</f>
        <v>40</v>
      </c>
      <c r="G137">
        <f t="shared" si="153"/>
        <v>40</v>
      </c>
      <c r="H137">
        <f t="shared" si="153"/>
        <v>40</v>
      </c>
      <c r="I137">
        <f t="shared" si="153"/>
        <v>40</v>
      </c>
      <c r="J137">
        <f t="shared" si="153"/>
        <v>40</v>
      </c>
      <c r="K137">
        <f t="shared" si="153"/>
        <v>40</v>
      </c>
      <c r="L137">
        <f t="shared" si="153"/>
        <v>40</v>
      </c>
      <c r="M137">
        <f t="shared" si="153"/>
        <v>40</v>
      </c>
      <c r="N137">
        <f t="shared" si="153"/>
        <v>40</v>
      </c>
      <c r="O137">
        <f t="shared" si="153"/>
        <v>12.5</v>
      </c>
      <c r="P137">
        <f t="shared" si="153"/>
        <v>12.5</v>
      </c>
      <c r="Q137">
        <f t="shared" si="153"/>
        <v>12.5</v>
      </c>
      <c r="R137">
        <f t="shared" si="153"/>
        <v>12.5</v>
      </c>
      <c r="S137">
        <f t="shared" si="153"/>
        <v>12.5</v>
      </c>
      <c r="T137">
        <f t="shared" si="153"/>
        <v>12.5</v>
      </c>
      <c r="U137">
        <f t="shared" si="153"/>
        <v>12.5</v>
      </c>
      <c r="V137">
        <f t="shared" si="153"/>
        <v>12.5</v>
      </c>
      <c r="W137">
        <f t="shared" si="153"/>
        <v>12.5</v>
      </c>
      <c r="X137">
        <f t="shared" si="153"/>
        <v>12.5</v>
      </c>
    </row>
    <row r="138" spans="4:25">
      <c r="D138" s="25" t="s">
        <v>175</v>
      </c>
      <c r="E138">
        <f>IF(E135&lt;$J$113,$J$115,IF(E135&lt;$K$113,$K$115,IF(E135&lt;$L$113,$L$115,$M$115)))</f>
        <v>-0.35218251811136247</v>
      </c>
      <c r="F138">
        <f t="shared" ref="F138:X138" si="154">IF(F135&lt;$J$113,$J$115,IF(F135&lt;$K$113,$K$115,IF(F135&lt;$L$113,$L$115,$M$115)))</f>
        <v>-0.6020599913279624</v>
      </c>
      <c r="G138">
        <f t="shared" si="154"/>
        <v>-0.6020599913279624</v>
      </c>
      <c r="H138">
        <f t="shared" si="154"/>
        <v>-0.6020599913279624</v>
      </c>
      <c r="I138">
        <f t="shared" si="154"/>
        <v>-0.6020599913279624</v>
      </c>
      <c r="J138">
        <f t="shared" si="154"/>
        <v>-0.6020599913279624</v>
      </c>
      <c r="K138">
        <f t="shared" si="154"/>
        <v>-0.6020599913279624</v>
      </c>
      <c r="L138">
        <f t="shared" si="154"/>
        <v>-0.6020599913279624</v>
      </c>
      <c r="M138">
        <f t="shared" si="154"/>
        <v>-0.6020599913279624</v>
      </c>
      <c r="N138">
        <f t="shared" si="154"/>
        <v>-0.6020599913279624</v>
      </c>
      <c r="O138">
        <f t="shared" si="154"/>
        <v>-9.691001300805642E-2</v>
      </c>
      <c r="P138">
        <f t="shared" si="154"/>
        <v>-9.691001300805642E-2</v>
      </c>
      <c r="Q138">
        <f t="shared" si="154"/>
        <v>-9.691001300805642E-2</v>
      </c>
      <c r="R138">
        <f t="shared" si="154"/>
        <v>-9.691001300805642E-2</v>
      </c>
      <c r="S138">
        <f t="shared" si="154"/>
        <v>-9.691001300805642E-2</v>
      </c>
      <c r="T138">
        <f t="shared" si="154"/>
        <v>-9.691001300805642E-2</v>
      </c>
      <c r="U138">
        <f t="shared" si="154"/>
        <v>-9.691001300805642E-2</v>
      </c>
      <c r="V138">
        <f t="shared" si="154"/>
        <v>-9.691001300805642E-2</v>
      </c>
      <c r="W138">
        <f t="shared" si="154"/>
        <v>-9.691001300805642E-2</v>
      </c>
      <c r="X138">
        <f t="shared" si="154"/>
        <v>-9.691001300805642E-2</v>
      </c>
    </row>
    <row r="140" spans="4:25">
      <c r="D140" s="25" t="s">
        <v>388</v>
      </c>
      <c r="E140">
        <f t="shared" ref="E140:I140" si="155">E137*E135^E138*VINMAX</f>
        <v>907.4281964855644</v>
      </c>
      <c r="F140">
        <f t="shared" si="155"/>
        <v>801.50248185770135</v>
      </c>
      <c r="G140">
        <f t="shared" si="155"/>
        <v>692.69591814467958</v>
      </c>
      <c r="H140">
        <f t="shared" si="155"/>
        <v>598.66482736343107</v>
      </c>
      <c r="I140">
        <f t="shared" si="155"/>
        <v>517.40318165418967</v>
      </c>
      <c r="J140">
        <f>J137*J135^J138*VINMAX</f>
        <v>447.17732966388212</v>
      </c>
      <c r="K140">
        <f t="shared" ref="K140:V140" si="156">K137*K135^K138*VINMAX</f>
        <v>386.48900882130124</v>
      </c>
      <c r="L140">
        <f t="shared" si="156"/>
        <v>334.04337757033704</v>
      </c>
      <c r="M140">
        <f t="shared" si="156"/>
        <v>288.72138536047049</v>
      </c>
      <c r="N140">
        <f t="shared" si="156"/>
        <v>249.55589079474515</v>
      </c>
      <c r="O140">
        <f t="shared" si="156"/>
        <v>219.30391343292666</v>
      </c>
      <c r="P140">
        <f t="shared" si="156"/>
        <v>214.22054701556561</v>
      </c>
      <c r="Q140">
        <f t="shared" si="156"/>
        <v>209.25675787224262</v>
      </c>
      <c r="R140">
        <f t="shared" si="156"/>
        <v>204.40998565841227</v>
      </c>
      <c r="S140">
        <f t="shared" si="156"/>
        <v>199.67771069585328</v>
      </c>
      <c r="T140">
        <f t="shared" si="156"/>
        <v>195.05742676197247</v>
      </c>
      <c r="U140">
        <f t="shared" si="156"/>
        <v>190.54660802464284</v>
      </c>
      <c r="V140">
        <f t="shared" si="156"/>
        <v>186.14267369963235</v>
      </c>
      <c r="W140">
        <f>W137*W135^W138*VINMAX</f>
        <v>181.84295710670807</v>
      </c>
      <c r="X140">
        <f t="shared" ref="X140" si="157">X137*X135^X138*VINMAX</f>
        <v>177.64468837491549</v>
      </c>
    </row>
    <row r="141" spans="4:25">
      <c r="D141" s="25" t="s">
        <v>389</v>
      </c>
      <c r="E141">
        <f ca="1">E140*($J$108-$E$109)/($J$108 - 25)</f>
        <v>508.15979003191603</v>
      </c>
      <c r="F141">
        <f t="shared" ref="F141:X141" ca="1" si="158">F140*($J$108-$E$109)/($J$108 - 25)</f>
        <v>448.84138984031279</v>
      </c>
      <c r="G141">
        <f t="shared" ca="1" si="158"/>
        <v>387.90971416102059</v>
      </c>
      <c r="H141">
        <f t="shared" ca="1" si="158"/>
        <v>335.2523033235214</v>
      </c>
      <c r="I141">
        <f t="shared" ca="1" si="158"/>
        <v>289.74578172634625</v>
      </c>
      <c r="J141">
        <f t="shared" ca="1" si="158"/>
        <v>250.41930461177398</v>
      </c>
      <c r="K141">
        <f t="shared" ca="1" si="158"/>
        <v>216.43384493992869</v>
      </c>
      <c r="L141">
        <f t="shared" ca="1" si="158"/>
        <v>187.06429143938874</v>
      </c>
      <c r="M141">
        <f t="shared" ca="1" si="158"/>
        <v>161.68397580186345</v>
      </c>
      <c r="N141">
        <f t="shared" ca="1" si="158"/>
        <v>139.75129884505731</v>
      </c>
      <c r="O141">
        <f t="shared" ca="1" si="158"/>
        <v>122.81019152243893</v>
      </c>
      <c r="P141">
        <f t="shared" ca="1" si="158"/>
        <v>119.96350632871673</v>
      </c>
      <c r="Q141">
        <f t="shared" ca="1" si="158"/>
        <v>117.18378440845585</v>
      </c>
      <c r="R141">
        <f t="shared" ca="1" si="158"/>
        <v>114.46959196871086</v>
      </c>
      <c r="S141">
        <f t="shared" ca="1" si="158"/>
        <v>111.81951798967785</v>
      </c>
      <c r="T141">
        <f t="shared" ca="1" si="158"/>
        <v>109.23215898670458</v>
      </c>
      <c r="U141">
        <f t="shared" ca="1" si="158"/>
        <v>106.70610049379999</v>
      </c>
      <c r="V141">
        <f t="shared" ca="1" si="158"/>
        <v>104.23989727179412</v>
      </c>
      <c r="W141">
        <f t="shared" ca="1" si="158"/>
        <v>101.83205597975652</v>
      </c>
      <c r="X141">
        <f t="shared" ca="1" si="158"/>
        <v>99.481025489952671</v>
      </c>
    </row>
    <row r="142" spans="4:25">
      <c r="D142" s="25" t="s">
        <v>391</v>
      </c>
      <c r="E142">
        <f ca="1">E141/E134</f>
        <v>0.63807105729773472</v>
      </c>
      <c r="F142">
        <f ca="1">F141/F134</f>
        <v>0.71707932843106992</v>
      </c>
      <c r="G142">
        <f ca="1">G141/G134</f>
        <v>0.78819121951962201</v>
      </c>
      <c r="H142">
        <f t="shared" ref="H142:J142" ca="1" si="159">H141/H134</f>
        <v>0.86590895546990365</v>
      </c>
      <c r="I142">
        <f t="shared" ca="1" si="159"/>
        <v>0.95066858410944288</v>
      </c>
      <c r="J142">
        <f t="shared" ca="1" si="159"/>
        <v>1.0428617730187697</v>
      </c>
      <c r="K142">
        <f ca="1">K141/K134</f>
        <v>1.142799658616827</v>
      </c>
      <c r="L142">
        <f t="shared" ref="L142:X142" ca="1" si="160">L141/L134</f>
        <v>1.2506632325503919</v>
      </c>
      <c r="M142">
        <f t="shared" ca="1" si="160"/>
        <v>1.3664370162407866</v>
      </c>
      <c r="N142">
        <f t="shared" ca="1" si="160"/>
        <v>1.4898230023904246</v>
      </c>
      <c r="O142">
        <f t="shared" ca="1" si="160"/>
        <v>1.6471180421720344</v>
      </c>
      <c r="P142">
        <f t="shared" ca="1" si="160"/>
        <v>2.0175745081251324</v>
      </c>
      <c r="Q142">
        <f t="shared" ca="1" si="160"/>
        <v>2.461414462455191</v>
      </c>
      <c r="R142">
        <f t="shared" ca="1" si="160"/>
        <v>2.9881261351953734</v>
      </c>
      <c r="S142">
        <f t="shared" ca="1" si="160"/>
        <v>3.6059458378986249</v>
      </c>
      <c r="T142">
        <f t="shared" ca="1" si="160"/>
        <v>4.3205035336861588</v>
      </c>
      <c r="U142">
        <f t="shared" ca="1" si="160"/>
        <v>5.1331676574956697</v>
      </c>
      <c r="V142">
        <f t="shared" ca="1" si="160"/>
        <v>6.039282408939604</v>
      </c>
      <c r="W142">
        <f t="shared" ca="1" si="160"/>
        <v>7.0266522149545398</v>
      </c>
      <c r="X142">
        <f t="shared" ca="1" si="160"/>
        <v>8.0747585624961573</v>
      </c>
    </row>
    <row r="144" spans="4:25">
      <c r="D144" s="25" t="s">
        <v>395</v>
      </c>
      <c r="E144" t="str">
        <f ca="1">IF(E142&gt;$E$20, "Y", "N")</f>
        <v>N</v>
      </c>
      <c r="F144" t="str">
        <f t="shared" ref="F144:X144" ca="1" si="161">IF(F142&gt;$E$20, "Y", "N")</f>
        <v>N</v>
      </c>
      <c r="G144" t="str">
        <f t="shared" ca="1" si="161"/>
        <v>N</v>
      </c>
      <c r="H144" t="str">
        <f t="shared" ca="1" si="161"/>
        <v>N</v>
      </c>
      <c r="I144" t="str">
        <f t="shared" ca="1" si="161"/>
        <v>N</v>
      </c>
      <c r="J144" t="str">
        <f t="shared" ca="1" si="161"/>
        <v>N</v>
      </c>
      <c r="K144" t="str">
        <f t="shared" ca="1" si="161"/>
        <v>N</v>
      </c>
      <c r="L144" t="str">
        <f t="shared" ca="1" si="161"/>
        <v>N</v>
      </c>
      <c r="M144" t="str">
        <f t="shared" ca="1" si="161"/>
        <v>N</v>
      </c>
      <c r="N144" t="str">
        <f t="shared" ca="1" si="161"/>
        <v>N</v>
      </c>
      <c r="O144" t="str">
        <f t="shared" ca="1" si="161"/>
        <v>Y</v>
      </c>
      <c r="P144" t="str">
        <f t="shared" ca="1" si="161"/>
        <v>Y</v>
      </c>
      <c r="Q144" t="str">
        <f t="shared" ca="1" si="161"/>
        <v>Y</v>
      </c>
      <c r="R144" t="str">
        <f t="shared" ca="1" si="161"/>
        <v>Y</v>
      </c>
      <c r="S144" t="str">
        <f t="shared" ca="1" si="161"/>
        <v>Y</v>
      </c>
      <c r="T144" t="str">
        <f t="shared" ca="1" si="161"/>
        <v>Y</v>
      </c>
      <c r="U144" t="str">
        <f t="shared" ca="1" si="161"/>
        <v>Y</v>
      </c>
      <c r="V144" t="str">
        <f t="shared" ca="1" si="161"/>
        <v>Y</v>
      </c>
      <c r="W144" t="str">
        <f t="shared" ca="1" si="161"/>
        <v>Y</v>
      </c>
      <c r="X144" t="str">
        <f t="shared" ca="1" si="161"/>
        <v>Y</v>
      </c>
      <c r="Y144" t="s">
        <v>398</v>
      </c>
    </row>
    <row r="145" spans="4:24">
      <c r="D145" s="25" t="s">
        <v>396</v>
      </c>
      <c r="E145">
        <f ca="1">IF(E144="Y", 1, 0)</f>
        <v>0</v>
      </c>
      <c r="F145">
        <f ca="1">IF(AND(F144="Y", E144="N"),  1, 0)</f>
        <v>0</v>
      </c>
      <c r="G145">
        <f t="shared" ref="G145" ca="1" si="162">IF(AND(G144="Y", F144="N"),  1, 0)</f>
        <v>0</v>
      </c>
      <c r="H145">
        <f t="shared" ref="H145" ca="1" si="163">IF(AND(H144="Y", G144="N"),  1, 0)</f>
        <v>0</v>
      </c>
      <c r="I145">
        <f t="shared" ref="I145" ca="1" si="164">IF(AND(I144="Y", H144="N"),  1, 0)</f>
        <v>0</v>
      </c>
      <c r="J145">
        <f t="shared" ref="J145" ca="1" si="165">IF(AND(J144="Y", I144="N"),  1, 0)</f>
        <v>0</v>
      </c>
      <c r="K145">
        <f t="shared" ref="K145" ca="1" si="166">IF(AND(K144="Y", J144="N"),  1, 0)</f>
        <v>0</v>
      </c>
      <c r="L145">
        <f t="shared" ref="L145" ca="1" si="167">IF(AND(L144="Y", K144="N"),  1, 0)</f>
        <v>0</v>
      </c>
      <c r="M145">
        <f t="shared" ref="M145" ca="1" si="168">IF(AND(M144="Y", L144="N"),  1, 0)</f>
        <v>0</v>
      </c>
      <c r="N145">
        <f t="shared" ref="N145" ca="1" si="169">IF(AND(N144="Y", M144="N"),  1, 0)</f>
        <v>0</v>
      </c>
      <c r="O145">
        <f t="shared" ref="O145" ca="1" si="170">IF(AND(O144="Y", N144="N"),  1, 0)</f>
        <v>1</v>
      </c>
      <c r="P145">
        <f t="shared" ref="P145" ca="1" si="171">IF(AND(P144="Y", O144="N"),  1, 0)</f>
        <v>0</v>
      </c>
      <c r="Q145">
        <f t="shared" ref="Q145" ca="1" si="172">IF(AND(Q144="Y", P144="N"),  1, 0)</f>
        <v>0</v>
      </c>
      <c r="R145">
        <f t="shared" ref="R145" ca="1" si="173">IF(AND(R144="Y", Q144="N"),  1, 0)</f>
        <v>0</v>
      </c>
      <c r="S145">
        <f t="shared" ref="S145" ca="1" si="174">IF(AND(S144="Y", R144="N"),  1, 0)</f>
        <v>0</v>
      </c>
      <c r="T145">
        <f t="shared" ref="T145" ca="1" si="175">IF(AND(T144="Y", S144="N"),  1, 0)</f>
        <v>0</v>
      </c>
      <c r="U145">
        <f t="shared" ref="U145" ca="1" si="176">IF(AND(U144="Y", T144="N"),  1, 0)</f>
        <v>0</v>
      </c>
      <c r="V145">
        <f t="shared" ref="V145" ca="1" si="177">IF(AND(V144="Y", U144="N"),  1, 0)</f>
        <v>0</v>
      </c>
      <c r="W145">
        <f t="shared" ref="W145" ca="1" si="178">IF(AND(W144="Y", V144="N"),  1, 0)</f>
        <v>0</v>
      </c>
      <c r="X145">
        <f t="shared" ref="X145" ca="1" si="179">IF(AND(X144="Y", W144="N"),  1, 0)</f>
        <v>0</v>
      </c>
    </row>
    <row r="146" spans="4:24">
      <c r="D146" s="25" t="s">
        <v>397</v>
      </c>
      <c r="E146">
        <v>0</v>
      </c>
      <c r="F146">
        <f ca="1">IF(AND(F144="Y", G144="N"),  1, 0)</f>
        <v>0</v>
      </c>
      <c r="G146">
        <f t="shared" ref="G146" ca="1" si="180">IF(AND(G144="Y", H144="N"),  1, 0)</f>
        <v>0</v>
      </c>
      <c r="H146">
        <f t="shared" ref="H146" ca="1" si="181">IF(AND(H144="Y", I144="N"),  1, 0)</f>
        <v>0</v>
      </c>
      <c r="I146">
        <f t="shared" ref="I146" ca="1" si="182">IF(AND(I144="Y", J144="N"),  1, 0)</f>
        <v>0</v>
      </c>
      <c r="J146">
        <f t="shared" ref="J146" ca="1" si="183">IF(AND(J144="Y", K144="N"),  1, 0)</f>
        <v>0</v>
      </c>
      <c r="K146">
        <f t="shared" ref="K146" ca="1" si="184">IF(AND(K144="Y", L144="N"),  1, 0)</f>
        <v>0</v>
      </c>
      <c r="L146">
        <f t="shared" ref="L146" ca="1" si="185">IF(AND(L144="Y", M144="N"),  1, 0)</f>
        <v>0</v>
      </c>
      <c r="M146">
        <f t="shared" ref="M146" ca="1" si="186">IF(AND(M144="Y", N144="N"),  1, 0)</f>
        <v>0</v>
      </c>
      <c r="N146">
        <f t="shared" ref="N146" ca="1" si="187">IF(AND(N144="Y", O144="N"),  1, 0)</f>
        <v>0</v>
      </c>
      <c r="O146">
        <f t="shared" ref="O146" ca="1" si="188">IF(AND(O144="Y", P144="N"),  1, 0)</f>
        <v>0</v>
      </c>
      <c r="P146">
        <f t="shared" ref="P146" ca="1" si="189">IF(AND(P144="Y", Q144="N"),  1, 0)</f>
        <v>0</v>
      </c>
      <c r="Q146">
        <f t="shared" ref="Q146" ca="1" si="190">IF(AND(Q144="Y", R144="N"),  1, 0)</f>
        <v>0</v>
      </c>
      <c r="R146">
        <f t="shared" ref="R146" ca="1" si="191">IF(AND(R144="Y", S144="N"),  1, 0)</f>
        <v>0</v>
      </c>
      <c r="S146">
        <f t="shared" ref="S146" ca="1" si="192">IF(AND(S144="Y", T144="N"),  1, 0)</f>
        <v>0</v>
      </c>
      <c r="T146">
        <f t="shared" ref="T146" ca="1" si="193">IF(AND(T144="Y", U144="N"),  1, 0)</f>
        <v>0</v>
      </c>
      <c r="U146">
        <f t="shared" ref="U146" ca="1" si="194">IF(AND(U144="Y", V144="N"),  1, 0)</f>
        <v>0</v>
      </c>
      <c r="V146">
        <f t="shared" ref="V146" ca="1" si="195">IF(AND(V144="Y", W144="N"),  1, 0)</f>
        <v>0</v>
      </c>
      <c r="W146">
        <f t="shared" ref="W146" ca="1" si="196">IF(AND(W144="Y", X144="N"),  1, 0)</f>
        <v>0</v>
      </c>
      <c r="X146">
        <f t="shared" ref="X146" ca="1" si="197">IF(AND(X144="Y", Y144="N"),  1, 0)</f>
        <v>1</v>
      </c>
    </row>
    <row r="148" spans="4:24">
      <c r="D148" t="s">
        <v>399</v>
      </c>
      <c r="E148">
        <f ca="1">E145*E125</f>
        <v>0</v>
      </c>
      <c r="F148">
        <f t="shared" ref="F148:X148" ca="1" si="198">F145*F125</f>
        <v>0</v>
      </c>
      <c r="G148">
        <f t="shared" ca="1" si="198"/>
        <v>0</v>
      </c>
      <c r="H148">
        <f t="shared" ca="1" si="198"/>
        <v>0</v>
      </c>
      <c r="I148">
        <f t="shared" ca="1" si="198"/>
        <v>0</v>
      </c>
      <c r="J148">
        <f t="shared" ca="1" si="198"/>
        <v>0</v>
      </c>
      <c r="K148">
        <f t="shared" ca="1" si="198"/>
        <v>0</v>
      </c>
      <c r="L148">
        <f t="shared" ca="1" si="198"/>
        <v>0</v>
      </c>
      <c r="M148">
        <f t="shared" ca="1" si="198"/>
        <v>0</v>
      </c>
      <c r="N148">
        <f t="shared" ca="1" si="198"/>
        <v>0</v>
      </c>
      <c r="O148">
        <f t="shared" ca="1" si="198"/>
        <v>1.0630401484920993</v>
      </c>
      <c r="P148">
        <f t="shared" ca="1" si="198"/>
        <v>0</v>
      </c>
      <c r="Q148">
        <f t="shared" ca="1" si="198"/>
        <v>0</v>
      </c>
      <c r="R148">
        <f t="shared" ca="1" si="198"/>
        <v>0</v>
      </c>
      <c r="S148">
        <f t="shared" ca="1" si="198"/>
        <v>0</v>
      </c>
      <c r="T148">
        <f t="shared" ca="1" si="198"/>
        <v>0</v>
      </c>
      <c r="U148">
        <f t="shared" ca="1" si="198"/>
        <v>0</v>
      </c>
      <c r="V148">
        <f t="shared" ca="1" si="198"/>
        <v>0</v>
      </c>
      <c r="W148">
        <f t="shared" ca="1" si="198"/>
        <v>0</v>
      </c>
      <c r="X148">
        <f t="shared" ca="1" si="198"/>
        <v>0</v>
      </c>
    </row>
    <row r="149" spans="4:24">
      <c r="D149" t="s">
        <v>400</v>
      </c>
      <c r="E149">
        <f>E125*E146</f>
        <v>0</v>
      </c>
      <c r="F149">
        <f t="shared" ref="F149:X149" ca="1" si="199">F125*F146</f>
        <v>0</v>
      </c>
      <c r="G149">
        <f t="shared" ca="1" si="199"/>
        <v>0</v>
      </c>
      <c r="H149">
        <f t="shared" ca="1" si="199"/>
        <v>0</v>
      </c>
      <c r="I149">
        <f t="shared" ca="1" si="199"/>
        <v>0</v>
      </c>
      <c r="J149">
        <f t="shared" ca="1" si="199"/>
        <v>0</v>
      </c>
      <c r="K149">
        <f t="shared" ca="1" si="199"/>
        <v>0</v>
      </c>
      <c r="L149">
        <f t="shared" ca="1" si="199"/>
        <v>0</v>
      </c>
      <c r="M149">
        <f t="shared" ca="1" si="199"/>
        <v>0</v>
      </c>
      <c r="N149">
        <f t="shared" ca="1" si="199"/>
        <v>0</v>
      </c>
      <c r="O149">
        <f t="shared" ca="1" si="199"/>
        <v>0</v>
      </c>
      <c r="P149">
        <f t="shared" ca="1" si="199"/>
        <v>0</v>
      </c>
      <c r="Q149">
        <f t="shared" ca="1" si="199"/>
        <v>0</v>
      </c>
      <c r="R149">
        <f t="shared" ca="1" si="199"/>
        <v>0</v>
      </c>
      <c r="S149">
        <f t="shared" ca="1" si="199"/>
        <v>0</v>
      </c>
      <c r="T149">
        <f t="shared" ca="1" si="199"/>
        <v>0</v>
      </c>
      <c r="U149">
        <f t="shared" ca="1" si="199"/>
        <v>0</v>
      </c>
      <c r="V149">
        <f t="shared" ca="1" si="199"/>
        <v>0</v>
      </c>
      <c r="W149">
        <f t="shared" ca="1" si="199"/>
        <v>0</v>
      </c>
      <c r="X149">
        <f t="shared" ca="1" si="199"/>
        <v>0.12</v>
      </c>
    </row>
  </sheetData>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F72F43736E84F41BD4B3E7ABAD1B9F8" ma:contentTypeVersion="0" ma:contentTypeDescription="Create a new document." ma:contentTypeScope="" ma:versionID="6d41e9362d2f52e62f002b8bc1f10a2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50E0136-3BAD-49BB-8AF7-407A6C7ED0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075DB13-C899-42C1-B546-04A99F6A6EC5}">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8C792D54-93DE-44B5-8029-9C9ACFC0E2B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45</vt:i4>
      </vt:variant>
    </vt:vector>
  </HeadingPairs>
  <TitlesOfParts>
    <vt:vector size="54" baseType="lpstr">
      <vt:lpstr>Instructions</vt:lpstr>
      <vt:lpstr>Design Calculator</vt:lpstr>
      <vt:lpstr>Device Parameters</vt:lpstr>
      <vt:lpstr>Equations</vt:lpstr>
      <vt:lpstr>MOSFET Database 24V</vt:lpstr>
      <vt:lpstr>MOSFET Database 48V</vt:lpstr>
      <vt:lpstr>Start_up</vt:lpstr>
      <vt:lpstr>SOA</vt:lpstr>
      <vt:lpstr>dv_dt_recommendations</vt:lpstr>
      <vt:lpstr>CLMAX</vt:lpstr>
      <vt:lpstr>CLMAX_Threshold</vt:lpstr>
      <vt:lpstr>CLMIN</vt:lpstr>
      <vt:lpstr>CLMIN_Threshold</vt:lpstr>
      <vt:lpstr>CLNOM</vt:lpstr>
      <vt:lpstr>CLNOM_Threshold</vt:lpstr>
      <vt:lpstr>COUTMAX</vt:lpstr>
      <vt:lpstr>FETPDISS1</vt:lpstr>
      <vt:lpstr>I_Cout_ss</vt:lpstr>
      <vt:lpstr>IOUTMAX</vt:lpstr>
      <vt:lpstr>NUMFETS1</vt:lpstr>
      <vt:lpstr>NUMFETS2</vt:lpstr>
      <vt:lpstr>NUMFETS3</vt:lpstr>
      <vt:lpstr>'Design Calculator'!Print_Area</vt:lpstr>
      <vt:lpstr>RDIV1</vt:lpstr>
      <vt:lpstr>RDIV2</vt:lpstr>
      <vt:lpstr>RDSON</vt:lpstr>
      <vt:lpstr>RPWR</vt:lpstr>
      <vt:lpstr>Rs</vt:lpstr>
      <vt:lpstr>RsEFF</vt:lpstr>
      <vt:lpstr>RsMAX</vt:lpstr>
      <vt:lpstr>SFET24_1</vt:lpstr>
      <vt:lpstr>SFET24_2</vt:lpstr>
      <vt:lpstr>SFET3</vt:lpstr>
      <vt:lpstr>SFET48_1</vt:lpstr>
      <vt:lpstr>SFET48_2</vt:lpstr>
      <vt:lpstr>ss_rate</vt:lpstr>
      <vt:lpstr>TAMB</vt:lpstr>
      <vt:lpstr>Tfault</vt:lpstr>
      <vt:lpstr>ThetaJA</vt:lpstr>
      <vt:lpstr>TINSERT</vt:lpstr>
      <vt:lpstr>TINSERTMAX</vt:lpstr>
      <vt:lpstr>TINSERTMIN</vt:lpstr>
      <vt:lpstr>TJ</vt:lpstr>
      <vt:lpstr>TJDC1</vt:lpstr>
      <vt:lpstr>TJDC2</vt:lpstr>
      <vt:lpstr>TJDC3</vt:lpstr>
      <vt:lpstr>TJMAX</vt:lpstr>
      <vt:lpstr>TSTARTMAX</vt:lpstr>
      <vt:lpstr>TSTARTMIN</vt:lpstr>
      <vt:lpstr>TSTARTNOM</vt:lpstr>
      <vt:lpstr>VINMAX</vt:lpstr>
      <vt:lpstr>VINMIN</vt:lpstr>
      <vt:lpstr>VINNOM</vt:lpstr>
      <vt:lpstr>yesno</vt:lpstr>
    </vt:vector>
  </TitlesOfParts>
  <Company>Texas Instruments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LM5069 Design Calculator with FET Recommendation</dc:title>
  <dc:creator>Panguloori, Rakesh</dc:creator>
  <cp:lastModifiedBy>Tim Wang</cp:lastModifiedBy>
  <cp:lastPrinted>2013-08-26T22:42:43Z</cp:lastPrinted>
  <dcterms:created xsi:type="dcterms:W3CDTF">2009-04-21T16:00:33Z</dcterms:created>
  <dcterms:modified xsi:type="dcterms:W3CDTF">2026-01-26T19:26:32Z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0x010100CF72F43736E84F41BD4B3E7ABAD1B9F8</vt:lpwstr>
  </property>
</Properties>
</file>